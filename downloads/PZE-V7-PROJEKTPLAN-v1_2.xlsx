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ZE-V7-Projektplan" sheetId="1" state="visible" r:id="rId3"/>
  </sheets>
  <definedNames>
    <definedName function="false" hidden="false" localSheetId="0" name="_xlnm.Print_Titles" vbProcedure="false">'PZE-V7-Projektplan'!$1:$1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<sst xmlns="http://schemas.openxmlformats.org/spreadsheetml/2006/main" count="256" uniqueCount="191">
  <si>
    <t xml:space="preserve">Nr.</t>
  </si>
  <si>
    <t xml:space="preserve">Arbeitspaket / Aufgabe</t>
  </si>
  <si>
    <t xml:space="preserve">Plan (h)</t>
  </si>
  <si>
    <t xml:space="preserve">Ist (h)</t>
  </si>
  <si>
    <t xml:space="preserve">Status</t>
  </si>
  <si>
    <t xml:space="preserve">Version</t>
  </si>
  <si>
    <t xml:space="preserve">Datum</t>
  </si>
  <si>
    <t xml:space="preserve">Bemerkungen</t>
  </si>
  <si>
    <t xml:space="preserve">PZE v7 - PROJEKTPLAN (Stand: 18.01.2026)</t>
  </si>
  <si>
    <t xml:space="preserve">Plan (h) = Aufwand bei Vergabe an externen Entwickler | Ist (h) = Tatsächlicher Aufwand mit Claude AI</t>
  </si>
  <si>
    <t xml:space="preserve">1</t>
  </si>
  <si>
    <t xml:space="preserve">PHASE 1: BASIS-INFRASTRUKTUR</t>
  </si>
  <si>
    <t xml:space="preserve">1.1</t>
  </si>
  <si>
    <t xml:space="preserve">V7-Datenbank-Schema erstellen</t>
  </si>
  <si>
    <t xml:space="preserve">✅ Fertig</t>
  </si>
  <si>
    <t xml:space="preserve">v7.0.0</t>
  </si>
  <si>
    <t xml:space="preserve">30.12.2025</t>
  </si>
  <si>
    <t xml:space="preserve">v7_* Tabellen</t>
  </si>
  <si>
    <t xml:space="preserve">1.2</t>
  </si>
  <si>
    <t xml:space="preserve">Login &amp; Authentifizierung</t>
  </si>
  <si>
    <t xml:space="preserve">Supabase Auth</t>
  </si>
  <si>
    <t xml:space="preserve">1.3</t>
  </si>
  <si>
    <t xml:space="preserve">Rollenbasierter Redirect</t>
  </si>
  <si>
    <t xml:space="preserve">v7.1.1</t>
  </si>
  <si>
    <t xml:space="preserve">02.01.2026</t>
  </si>
  <si>
    <t xml:space="preserve">Berater/Firma Portal</t>
  </si>
  <si>
    <t xml:space="preserve">1.4</t>
  </si>
  <si>
    <t xml:space="preserve">Berater-Dashboard Grundstruktur</t>
  </si>
  <si>
    <t xml:space="preserve">2 Kacheln</t>
  </si>
  <si>
    <t xml:space="preserve">1.5</t>
  </si>
  <si>
    <t xml:space="preserve">Navigation &amp; Header-Design</t>
  </si>
  <si>
    <t xml:space="preserve">v7.3.1</t>
  </si>
  <si>
    <t xml:space="preserve">06.01.2026</t>
  </si>
  <si>
    <t xml:space="preserve">Blau/Grün Schema</t>
  </si>
  <si>
    <t xml:space="preserve">2</t>
  </si>
  <si>
    <t xml:space="preserve">PHASE 2: BERATER-PORTAL CRUD</t>
  </si>
  <si>
    <t xml:space="preserve">2.1</t>
  </si>
  <si>
    <t xml:space="preserve">Firmenübersicht (Förderberatung)</t>
  </si>
  <si>
    <t xml:space="preserve">v7.1.2</t>
  </si>
  <si>
    <t xml:space="preserve">03.01.2026</t>
  </si>
  <si>
    <t xml:space="preserve">Kundenfirmen-Liste</t>
  </si>
  <si>
    <t xml:space="preserve">2.2</t>
  </si>
  <si>
    <t xml:space="preserve">Firma anlegen/bearbeiten</t>
  </si>
  <si>
    <t xml:space="preserve">v7.1.3</t>
  </si>
  <si>
    <t xml:space="preserve">Modal + Validierung</t>
  </si>
  <si>
    <t xml:space="preserve">2.3</t>
  </si>
  <si>
    <t xml:space="preserve">Firmen-Detailseite</t>
  </si>
  <si>
    <t xml:space="preserve">Projekte, MA, APs</t>
  </si>
  <si>
    <t xml:space="preserve">2.4</t>
  </si>
  <si>
    <t xml:space="preserve">Projekt anlegen/bearbeiten</t>
  </si>
  <si>
    <t xml:space="preserve">2.5</t>
  </si>
  <si>
    <t xml:space="preserve">Mitarbeiter anlegen/bearbeiten</t>
  </si>
  <si>
    <t xml:space="preserve">2.6</t>
  </si>
  <si>
    <t xml:space="preserve">Arbeitspakete CRUD</t>
  </si>
  <si>
    <t xml:space="preserve">v7.1.4</t>
  </si>
  <si>
    <t xml:space="preserve">Mit Personenmonaten</t>
  </si>
  <si>
    <t xml:space="preserve">2.7</t>
  </si>
  <si>
    <t xml:space="preserve">MA → Projekt zuordnen</t>
  </si>
  <si>
    <t xml:space="preserve">v7.1.5</t>
  </si>
  <si>
    <t xml:space="preserve">2.8</t>
  </si>
  <si>
    <t xml:space="preserve">MA → AP zuordnen</t>
  </si>
  <si>
    <t xml:space="preserve">v7.1.6</t>
  </si>
  <si>
    <t xml:space="preserve">Mit PM-Planung</t>
  </si>
  <si>
    <t xml:space="preserve">2.9</t>
  </si>
  <si>
    <t xml:space="preserve">Logo-Upload für Firmen</t>
  </si>
  <si>
    <t xml:space="preserve">v7.3.2</t>
  </si>
  <si>
    <t xml:space="preserve">Supabase Storage</t>
  </si>
  <si>
    <t xml:space="preserve">2.10</t>
  </si>
  <si>
    <t xml:space="preserve">Firmen-Detailseite Header-Farbe</t>
  </si>
  <si>
    <t xml:space="preserve">⏳ Offen</t>
  </si>
  <si>
    <t xml:space="preserve">Grün → Blau</t>
  </si>
  <si>
    <t xml:space="preserve">2b</t>
  </si>
  <si>
    <t xml:space="preserve">PHASE 2b: ZIM-PDF-IMPORT</t>
  </si>
  <si>
    <t xml:space="preserve">2b.1</t>
  </si>
  <si>
    <t xml:space="preserve">Python PDF-Parser entwickeln</t>
  </si>
  <si>
    <t xml:space="preserve">v7.2.0</t>
  </si>
  <si>
    <t xml:space="preserve">04.01.2026</t>
  </si>
  <si>
    <t xml:space="preserve">PyMuPDF</t>
  </si>
  <si>
    <t xml:space="preserve">2b.2</t>
  </si>
  <si>
    <t xml:space="preserve">Railway Microservice deployen</t>
  </si>
  <si>
    <t xml:space="preserve">v7.2.1</t>
  </si>
  <si>
    <t xml:space="preserve">Railway.app</t>
  </si>
  <si>
    <t xml:space="preserve">2b.3</t>
  </si>
  <si>
    <t xml:space="preserve">Import-Seite UI</t>
  </si>
  <si>
    <t xml:space="preserve">v7.2.3</t>
  </si>
  <si>
    <t xml:space="preserve">05.01.2026</t>
  </si>
  <si>
    <t xml:space="preserve">Vorschau + Import</t>
  </si>
  <si>
    <t xml:space="preserve">2b.4</t>
  </si>
  <si>
    <t xml:space="preserve">Automatischer Reimport</t>
  </si>
  <si>
    <t xml:space="preserve">v7.2.4</t>
  </si>
  <si>
    <t xml:space="preserve">Update bestehend</t>
  </si>
  <si>
    <t xml:space="preserve">2b.5</t>
  </si>
  <si>
    <t xml:space="preserve">ZIM-Excel-Import</t>
  </si>
  <si>
    <t xml:space="preserve">Stundennachweis</t>
  </si>
  <si>
    <t xml:space="preserve">2b.6</t>
  </si>
  <si>
    <t xml:space="preserve">BMBF-Excel-Import</t>
  </si>
  <si>
    <t xml:space="preserve">Anderes Format</t>
  </si>
  <si>
    <t xml:space="preserve">3</t>
  </si>
  <si>
    <t xml:space="preserve">PHASE 3: FIRMEN-PORTAL</t>
  </si>
  <si>
    <t xml:space="preserve">3.1</t>
  </si>
  <si>
    <t xml:space="preserve">Firmen-Dashboard</t>
  </si>
  <si>
    <t xml:space="preserve">v7.3.0</t>
  </si>
  <si>
    <t xml:space="preserve">Statistiken</t>
  </si>
  <si>
    <t xml:space="preserve">3.2</t>
  </si>
  <si>
    <t xml:space="preserve">Firmen-Portal Navigation</t>
  </si>
  <si>
    <t xml:space="preserve">Header grün</t>
  </si>
  <si>
    <t xml:space="preserve">3.3</t>
  </si>
  <si>
    <t xml:space="preserve">Zeiterfassung - Grundgerüst</t>
  </si>
  <si>
    <t xml:space="preserve">v7.3.6</t>
  </si>
  <si>
    <t xml:space="preserve">07.01.2026</t>
  </si>
  <si>
    <t xml:space="preserve">Monatsansicht</t>
  </si>
  <si>
    <t xml:space="preserve">3.4</t>
  </si>
  <si>
    <t xml:space="preserve">Zeiterfassung - Excel-Navigation</t>
  </si>
  <si>
    <t xml:space="preserve">v7.3.10</t>
  </si>
  <si>
    <t xml:space="preserve">08.01.2026</t>
  </si>
  <si>
    <t xml:space="preserve">Tastatur-Nav</t>
  </si>
  <si>
    <t xml:space="preserve">3.5</t>
  </si>
  <si>
    <t xml:space="preserve">Zeiterfassung - PDF-Export</t>
  </si>
  <si>
    <t xml:space="preserve">v7.3.12</t>
  </si>
  <si>
    <t xml:space="preserve">jsPDF</t>
  </si>
  <si>
    <t xml:space="preserve">3.6</t>
  </si>
  <si>
    <t xml:space="preserve">Zeiterfassung - Wording</t>
  </si>
  <si>
    <t xml:space="preserve">Netzwerk vs Standard</t>
  </si>
  <si>
    <t xml:space="preserve">3.7</t>
  </si>
  <si>
    <t xml:space="preserve">Projekte verwalten</t>
  </si>
  <si>
    <t xml:space="preserve">/firma/projekte</t>
  </si>
  <si>
    <t xml:space="preserve">3.8</t>
  </si>
  <si>
    <t xml:space="preserve">Mitarbeiter verwalten</t>
  </si>
  <si>
    <t xml:space="preserve">/firma/mitarbeiter</t>
  </si>
  <si>
    <t xml:space="preserve">3.9</t>
  </si>
  <si>
    <t xml:space="preserve">Berichte</t>
  </si>
  <si>
    <t xml:space="preserve">/firma/berichte</t>
  </si>
  <si>
    <t xml:space="preserve">4</t>
  </si>
  <si>
    <t xml:space="preserve">PHASE 4: FZUL-MIGRATION</t>
  </si>
  <si>
    <t xml:space="preserve">4.1</t>
  </si>
  <si>
    <t xml:space="preserve">FZul-Datenbank-Tabellen</t>
  </si>
  <si>
    <t xml:space="preserve">fzul_* Tabellen</t>
  </si>
  <si>
    <t xml:space="preserve">4.2</t>
  </si>
  <si>
    <t xml:space="preserve">MA-Stammdaten UI</t>
  </si>
  <si>
    <t xml:space="preserve">Tab "MA-Daten"</t>
  </si>
  <si>
    <t xml:space="preserve">4.3</t>
  </si>
  <si>
    <t xml:space="preserve">FZul-Editor Wizard</t>
  </si>
  <si>
    <t xml:space="preserve">Auswahl-Dialog</t>
  </si>
  <si>
    <t xml:space="preserve">4.4</t>
  </si>
  <si>
    <t xml:space="preserve">FZul-Editor Kalender-Raster</t>
  </si>
  <si>
    <t xml:space="preserve">12-Monats-Grid</t>
  </si>
  <si>
    <t xml:space="preserve">4.5</t>
  </si>
  <si>
    <t xml:space="preserve">FZul-Editor Tages-Editor</t>
  </si>
  <si>
    <t xml:space="preserve">Popup Einzeltag</t>
  </si>
  <si>
    <t xml:space="preserve">4.6</t>
  </si>
  <si>
    <t xml:space="preserve">FZul-Editor Auto-Fill</t>
  </si>
  <si>
    <t xml:space="preserve">Auto-Verteilung</t>
  </si>
  <si>
    <t xml:space="preserve">4.7</t>
  </si>
  <si>
    <t xml:space="preserve">PDF-Generierung BMF-konform</t>
  </si>
  <si>
    <t xml:space="preserve">4.8</t>
  </si>
  <si>
    <t xml:space="preserve">PDF-Archiv &amp; Freigabe</t>
  </si>
  <si>
    <t xml:space="preserve">Workflow, ZIP</t>
  </si>
  <si>
    <t xml:space="preserve">5</t>
  </si>
  <si>
    <t xml:space="preserve">PHASE 5: PRODUKTION</t>
  </si>
  <si>
    <t xml:space="preserve">5.1</t>
  </si>
  <si>
    <t xml:space="preserve">RLS-Policies aktivieren</t>
  </si>
  <si>
    <t xml:space="preserve">Row Level Security</t>
  </si>
  <si>
    <t xml:space="preserve">5.2</t>
  </si>
  <si>
    <t xml:space="preserve">DSGVO-Autorisierung</t>
  </si>
  <si>
    <t xml:space="preserve">GF-Freigabe</t>
  </si>
  <si>
    <t xml:space="preserve">5.3</t>
  </si>
  <si>
    <t xml:space="preserve">Multi-Mandanten-Fähigkeit</t>
  </si>
  <si>
    <t xml:space="preserve">Weitere Berater</t>
  </si>
  <si>
    <t xml:space="preserve">5.4</t>
  </si>
  <si>
    <t xml:space="preserve">Performance-Optimierung</t>
  </si>
  <si>
    <t xml:space="preserve">Indizes, Caching</t>
  </si>
  <si>
    <t xml:space="preserve">5.5</t>
  </si>
  <si>
    <t xml:space="preserve">Dokumentation &amp; Schulung</t>
  </si>
  <si>
    <t xml:space="preserve">Benutzerhandbuch</t>
  </si>
  <si>
    <t xml:space="preserve">ZUSAMMENFASSUNG</t>
  </si>
  <si>
    <t xml:space="preserve">Aufgaben gesamt:</t>
  </si>
  <si>
    <t xml:space="preserve">Davon erledigt:</t>
  </si>
  <si>
    <t xml:space="preserve">Davon offen:</t>
  </si>
  <si>
    <t xml:space="preserve">PLAN-Aufwand gesamt (h):</t>
  </si>
  <si>
    <t xml:space="preserve">IST-Aufwand bisher (h):</t>
  </si>
  <si>
    <t xml:space="preserve">Zeitersparnis (%):</t>
  </si>
  <si>
    <t xml:space="preserve">PLAN-Restaufwand offen (h):</t>
  </si>
  <si>
    <t xml:space="preserve">IST-Restaufwand geschätzt (h):</t>
  </si>
  <si>
    <t xml:space="preserve">(ca. 25% vom Plan)</t>
  </si>
  <si>
    <t xml:space="preserve">Fortschritt (nach Plan-h):</t>
  </si>
  <si>
    <t xml:space="preserve">LEGENDE</t>
  </si>
  <si>
    <t xml:space="preserve">🔄 In Arbeit</t>
  </si>
  <si>
    <t xml:space="preserve">Version:</t>
  </si>
  <si>
    <t xml:space="preserve">PROJEKTPLAN-v1.2</t>
  </si>
  <si>
    <t xml:space="preserve">Erstellt:</t>
  </si>
  <si>
    <t xml:space="preserve">18. Januar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</si>
</sst>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0066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2451"/>
        <bgColor rgb="FF003300"/>
      </patternFill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45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38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7.3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10</v>
      </c>
      <c r="B5" s="5" t="s">
        <v>11</v>
      </c>
      <c r="C5" s="6"/>
      <c r="D5" s="6"/>
      <c r="E5" s="4"/>
      <c r="F5" s="4"/>
      <c r="G5" s="4"/>
      <c r="H5" s="5"/>
    </row>
    <row r="6" customFormat="false" ht="15" hidden="false" customHeight="false" outlineLevel="0" collapsed="false">
      <c r="A6" s="7" t="s">
        <v>12</v>
      </c>
      <c r="B6" s="8" t="s">
        <v>13</v>
      </c>
      <c r="C6" s="9" t="n">
        <v>4</v>
      </c>
      <c r="D6" s="9" t="n">
        <v>0.5</v>
      </c>
      <c r="E6" s="10" t="s">
        <v>14</v>
      </c>
      <c r="F6" s="7" t="s">
        <v>15</v>
      </c>
      <c r="G6" s="7" t="s">
        <v>16</v>
      </c>
      <c r="H6" s="11" t="s">
        <v>17</v>
      </c>
    </row>
    <row r="7" customFormat="false" ht="15" hidden="false" customHeight="false" outlineLevel="0" collapsed="false">
      <c r="A7" s="7" t="s">
        <v>18</v>
      </c>
      <c r="B7" s="8" t="s">
        <v>19</v>
      </c>
      <c r="C7" s="9" t="n">
        <v>2</v>
      </c>
      <c r="D7" s="9" t="n">
        <v>0.5</v>
      </c>
      <c r="E7" s="10" t="s">
        <v>14</v>
      </c>
      <c r="F7" s="7" t="s">
        <v>15</v>
      </c>
      <c r="G7" s="7" t="s">
        <v>16</v>
      </c>
      <c r="H7" s="11" t="s">
        <v>20</v>
      </c>
    </row>
    <row r="8" customFormat="false" ht="15" hidden="false" customHeight="false" outlineLevel="0" collapsed="false">
      <c r="A8" s="7" t="s">
        <v>21</v>
      </c>
      <c r="B8" s="8" t="s">
        <v>22</v>
      </c>
      <c r="C8" s="9" t="n">
        <v>3</v>
      </c>
      <c r="D8" s="9" t="n">
        <v>0.5</v>
      </c>
      <c r="E8" s="10" t="s">
        <v>14</v>
      </c>
      <c r="F8" s="7" t="s">
        <v>23</v>
      </c>
      <c r="G8" s="7" t="s">
        <v>24</v>
      </c>
      <c r="H8" s="11" t="s">
        <v>25</v>
      </c>
    </row>
    <row r="9" customFormat="false" ht="15" hidden="false" customHeight="false" outlineLevel="0" collapsed="false">
      <c r="A9" s="7" t="s">
        <v>26</v>
      </c>
      <c r="B9" s="8" t="s">
        <v>27</v>
      </c>
      <c r="C9" s="9" t="n">
        <v>4</v>
      </c>
      <c r="D9" s="9" t="n">
        <v>1</v>
      </c>
      <c r="E9" s="10" t="s">
        <v>14</v>
      </c>
      <c r="F9" s="7" t="s">
        <v>23</v>
      </c>
      <c r="G9" s="7" t="s">
        <v>24</v>
      </c>
      <c r="H9" s="11" t="s">
        <v>28</v>
      </c>
    </row>
    <row r="10" customFormat="false" ht="15" hidden="false" customHeight="false" outlineLevel="0" collapsed="false">
      <c r="A10" s="7" t="s">
        <v>29</v>
      </c>
      <c r="B10" s="8" t="s">
        <v>30</v>
      </c>
      <c r="C10" s="9" t="n">
        <v>3</v>
      </c>
      <c r="D10" s="9" t="n">
        <v>1</v>
      </c>
      <c r="E10" s="10" t="s">
        <v>14</v>
      </c>
      <c r="F10" s="7" t="s">
        <v>31</v>
      </c>
      <c r="G10" s="7" t="s">
        <v>32</v>
      </c>
      <c r="H10" s="11" t="s">
        <v>33</v>
      </c>
    </row>
    <row r="11" customFormat="false" ht="15" hidden="false" customHeight="false" outlineLevel="0" collapsed="false">
      <c r="A11" s="4" t="s">
        <v>34</v>
      </c>
      <c r="B11" s="5" t="s">
        <v>35</v>
      </c>
      <c r="C11" s="6"/>
      <c r="D11" s="6"/>
      <c r="E11" s="4"/>
      <c r="F11" s="4"/>
      <c r="G11" s="4"/>
      <c r="H11" s="5"/>
    </row>
    <row r="12" customFormat="false" ht="15" hidden="false" customHeight="false" outlineLevel="0" collapsed="false">
      <c r="A12" s="7" t="s">
        <v>36</v>
      </c>
      <c r="B12" s="8" t="s">
        <v>37</v>
      </c>
      <c r="C12" s="9" t="n">
        <v>4</v>
      </c>
      <c r="D12" s="9" t="n">
        <v>1</v>
      </c>
      <c r="E12" s="10" t="s">
        <v>14</v>
      </c>
      <c r="F12" s="7" t="s">
        <v>38</v>
      </c>
      <c r="G12" s="7" t="s">
        <v>39</v>
      </c>
      <c r="H12" s="11" t="s">
        <v>40</v>
      </c>
    </row>
    <row r="13" customFormat="false" ht="15" hidden="false" customHeight="false" outlineLevel="0" collapsed="false">
      <c r="A13" s="7" t="s">
        <v>41</v>
      </c>
      <c r="B13" s="8" t="s">
        <v>42</v>
      </c>
      <c r="C13" s="9" t="n">
        <v>6</v>
      </c>
      <c r="D13" s="9" t="n">
        <v>1.5</v>
      </c>
      <c r="E13" s="10" t="s">
        <v>14</v>
      </c>
      <c r="F13" s="7" t="s">
        <v>43</v>
      </c>
      <c r="G13" s="7" t="s">
        <v>39</v>
      </c>
      <c r="H13" s="11" t="s">
        <v>44</v>
      </c>
    </row>
    <row r="14" customFormat="false" ht="15" hidden="false" customHeight="false" outlineLevel="0" collapsed="false">
      <c r="A14" s="7" t="s">
        <v>45</v>
      </c>
      <c r="B14" s="8" t="s">
        <v>46</v>
      </c>
      <c r="C14" s="9" t="n">
        <v>8</v>
      </c>
      <c r="D14" s="9" t="n">
        <v>2</v>
      </c>
      <c r="E14" s="10" t="s">
        <v>14</v>
      </c>
      <c r="F14" s="7" t="s">
        <v>43</v>
      </c>
      <c r="G14" s="7" t="s">
        <v>39</v>
      </c>
      <c r="H14" s="11" t="s">
        <v>47</v>
      </c>
    </row>
    <row r="15" customFormat="false" ht="15" hidden="false" customHeight="false" outlineLevel="0" collapsed="false">
      <c r="A15" s="7" t="s">
        <v>48</v>
      </c>
      <c r="B15" s="8" t="s">
        <v>49</v>
      </c>
      <c r="C15" s="9" t="n">
        <v>4</v>
      </c>
      <c r="D15" s="9" t="n">
        <v>1</v>
      </c>
      <c r="E15" s="10" t="s">
        <v>14</v>
      </c>
      <c r="F15" s="7" t="s">
        <v>43</v>
      </c>
      <c r="G15" s="7" t="s">
        <v>39</v>
      </c>
      <c r="H15" s="11"/>
    </row>
    <row r="16" customFormat="false" ht="15" hidden="false" customHeight="false" outlineLevel="0" collapsed="false">
      <c r="A16" s="7" t="s">
        <v>50</v>
      </c>
      <c r="B16" s="8" t="s">
        <v>51</v>
      </c>
      <c r="C16" s="9" t="n">
        <v>4</v>
      </c>
      <c r="D16" s="9" t="n">
        <v>1</v>
      </c>
      <c r="E16" s="10" t="s">
        <v>14</v>
      </c>
      <c r="F16" s="7" t="s">
        <v>43</v>
      </c>
      <c r="G16" s="7" t="s">
        <v>39</v>
      </c>
      <c r="H16" s="11"/>
    </row>
    <row r="17" customFormat="false" ht="15" hidden="false" customHeight="false" outlineLevel="0" collapsed="false">
      <c r="A17" s="7" t="s">
        <v>52</v>
      </c>
      <c r="B17" s="8" t="s">
        <v>53</v>
      </c>
      <c r="C17" s="9" t="n">
        <v>6</v>
      </c>
      <c r="D17" s="9" t="n">
        <v>1.5</v>
      </c>
      <c r="E17" s="10" t="s">
        <v>14</v>
      </c>
      <c r="F17" s="7" t="s">
        <v>54</v>
      </c>
      <c r="G17" s="7" t="s">
        <v>39</v>
      </c>
      <c r="H17" s="11" t="s">
        <v>55</v>
      </c>
    </row>
    <row r="18" customFormat="false" ht="15" hidden="false" customHeight="false" outlineLevel="0" collapsed="false">
      <c r="A18" s="7" t="s">
        <v>56</v>
      </c>
      <c r="B18" s="8" t="s">
        <v>57</v>
      </c>
      <c r="C18" s="9" t="n">
        <v>3</v>
      </c>
      <c r="D18" s="9" t="n">
        <v>0.5</v>
      </c>
      <c r="E18" s="10" t="s">
        <v>14</v>
      </c>
      <c r="F18" s="7" t="s">
        <v>58</v>
      </c>
      <c r="G18" s="7" t="s">
        <v>39</v>
      </c>
      <c r="H18" s="11"/>
    </row>
    <row r="19" customFormat="false" ht="15" hidden="false" customHeight="false" outlineLevel="0" collapsed="false">
      <c r="A19" s="7" t="s">
        <v>59</v>
      </c>
      <c r="B19" s="8" t="s">
        <v>60</v>
      </c>
      <c r="C19" s="9" t="n">
        <v>4</v>
      </c>
      <c r="D19" s="9" t="n">
        <v>1</v>
      </c>
      <c r="E19" s="10" t="s">
        <v>14</v>
      </c>
      <c r="F19" s="7" t="s">
        <v>61</v>
      </c>
      <c r="G19" s="7" t="s">
        <v>39</v>
      </c>
      <c r="H19" s="11" t="s">
        <v>62</v>
      </c>
    </row>
    <row r="20" customFormat="false" ht="15" hidden="false" customHeight="false" outlineLevel="0" collapsed="false">
      <c r="A20" s="7" t="s">
        <v>63</v>
      </c>
      <c r="B20" s="8" t="s">
        <v>64</v>
      </c>
      <c r="C20" s="9" t="n">
        <v>3</v>
      </c>
      <c r="D20" s="9" t="n">
        <v>1</v>
      </c>
      <c r="E20" s="10" t="s">
        <v>14</v>
      </c>
      <c r="F20" s="7" t="s">
        <v>65</v>
      </c>
      <c r="G20" s="7" t="s">
        <v>32</v>
      </c>
      <c r="H20" s="11" t="s">
        <v>66</v>
      </c>
    </row>
    <row r="21" customFormat="false" ht="15" hidden="false" customHeight="false" outlineLevel="0" collapsed="false">
      <c r="A21" s="7" t="s">
        <v>67</v>
      </c>
      <c r="B21" s="8" t="s">
        <v>68</v>
      </c>
      <c r="C21" s="9" t="n">
        <v>0.5</v>
      </c>
      <c r="D21" s="9"/>
      <c r="E21" s="7" t="s">
        <v>69</v>
      </c>
      <c r="F21" s="7"/>
      <c r="G21" s="7"/>
      <c r="H21" s="11" t="s">
        <v>70</v>
      </c>
    </row>
    <row r="22" customFormat="false" ht="15" hidden="false" customHeight="false" outlineLevel="0" collapsed="false">
      <c r="A22" s="4" t="s">
        <v>71</v>
      </c>
      <c r="B22" s="5" t="s">
        <v>72</v>
      </c>
      <c r="C22" s="6"/>
      <c r="D22" s="6"/>
      <c r="E22" s="4"/>
      <c r="F22" s="4"/>
      <c r="G22" s="4"/>
      <c r="H22" s="5"/>
    </row>
    <row r="23" customFormat="false" ht="15" hidden="false" customHeight="false" outlineLevel="0" collapsed="false">
      <c r="A23" s="7" t="s">
        <v>73</v>
      </c>
      <c r="B23" s="8" t="s">
        <v>74</v>
      </c>
      <c r="C23" s="9" t="n">
        <v>8</v>
      </c>
      <c r="D23" s="9" t="n">
        <v>2</v>
      </c>
      <c r="E23" s="10" t="s">
        <v>14</v>
      </c>
      <c r="F23" s="7" t="s">
        <v>75</v>
      </c>
      <c r="G23" s="7" t="s">
        <v>76</v>
      </c>
      <c r="H23" s="11" t="s">
        <v>77</v>
      </c>
    </row>
    <row r="24" customFormat="false" ht="15" hidden="false" customHeight="false" outlineLevel="0" collapsed="false">
      <c r="A24" s="7" t="s">
        <v>78</v>
      </c>
      <c r="B24" s="8" t="s">
        <v>79</v>
      </c>
      <c r="C24" s="9" t="n">
        <v>2</v>
      </c>
      <c r="D24" s="9" t="n">
        <v>0.5</v>
      </c>
      <c r="E24" s="10" t="s">
        <v>14</v>
      </c>
      <c r="F24" s="7" t="s">
        <v>80</v>
      </c>
      <c r="G24" s="7" t="s">
        <v>76</v>
      </c>
      <c r="H24" s="11" t="s">
        <v>81</v>
      </c>
    </row>
    <row r="25" customFormat="false" ht="15" hidden="false" customHeight="false" outlineLevel="0" collapsed="false">
      <c r="A25" s="7" t="s">
        <v>82</v>
      </c>
      <c r="B25" s="8" t="s">
        <v>83</v>
      </c>
      <c r="C25" s="9" t="n">
        <v>6</v>
      </c>
      <c r="D25" s="9" t="n">
        <v>1.5</v>
      </c>
      <c r="E25" s="10" t="s">
        <v>14</v>
      </c>
      <c r="F25" s="7" t="s">
        <v>84</v>
      </c>
      <c r="G25" s="7" t="s">
        <v>85</v>
      </c>
      <c r="H25" s="11" t="s">
        <v>86</v>
      </c>
    </row>
    <row r="26" customFormat="false" ht="15" hidden="false" customHeight="false" outlineLevel="0" collapsed="false">
      <c r="A26" s="7" t="s">
        <v>87</v>
      </c>
      <c r="B26" s="8" t="s">
        <v>88</v>
      </c>
      <c r="C26" s="9" t="n">
        <v>4</v>
      </c>
      <c r="D26" s="9" t="n">
        <v>1</v>
      </c>
      <c r="E26" s="10" t="s">
        <v>14</v>
      </c>
      <c r="F26" s="7" t="s">
        <v>89</v>
      </c>
      <c r="G26" s="7" t="s">
        <v>85</v>
      </c>
      <c r="H26" s="11" t="s">
        <v>90</v>
      </c>
    </row>
    <row r="27" customFormat="false" ht="15" hidden="false" customHeight="false" outlineLevel="0" collapsed="false">
      <c r="A27" s="7" t="s">
        <v>91</v>
      </c>
      <c r="B27" s="8" t="s">
        <v>92</v>
      </c>
      <c r="C27" s="9" t="n">
        <v>4</v>
      </c>
      <c r="D27" s="9"/>
      <c r="E27" s="7" t="s">
        <v>69</v>
      </c>
      <c r="F27" s="7"/>
      <c r="G27" s="7"/>
      <c r="H27" s="11" t="s">
        <v>93</v>
      </c>
    </row>
    <row r="28" customFormat="false" ht="15" hidden="false" customHeight="false" outlineLevel="0" collapsed="false">
      <c r="A28" s="7" t="s">
        <v>94</v>
      </c>
      <c r="B28" s="8" t="s">
        <v>95</v>
      </c>
      <c r="C28" s="9" t="n">
        <v>4</v>
      </c>
      <c r="D28" s="9"/>
      <c r="E28" s="7" t="s">
        <v>69</v>
      </c>
      <c r="F28" s="7"/>
      <c r="G28" s="7"/>
      <c r="H28" s="11" t="s">
        <v>96</v>
      </c>
    </row>
    <row r="29" customFormat="false" ht="15" hidden="false" customHeight="false" outlineLevel="0" collapsed="false">
      <c r="A29" s="4" t="s">
        <v>97</v>
      </c>
      <c r="B29" s="5" t="s">
        <v>98</v>
      </c>
      <c r="C29" s="6"/>
      <c r="D29" s="6"/>
      <c r="E29" s="4"/>
      <c r="F29" s="4"/>
      <c r="G29" s="4"/>
      <c r="H29" s="5"/>
    </row>
    <row r="30" customFormat="false" ht="15" hidden="false" customHeight="false" outlineLevel="0" collapsed="false">
      <c r="A30" s="7" t="s">
        <v>99</v>
      </c>
      <c r="B30" s="8" t="s">
        <v>100</v>
      </c>
      <c r="C30" s="9" t="n">
        <v>4</v>
      </c>
      <c r="D30" s="9" t="n">
        <v>1</v>
      </c>
      <c r="E30" s="10" t="s">
        <v>14</v>
      </c>
      <c r="F30" s="7" t="s">
        <v>101</v>
      </c>
      <c r="G30" s="7" t="s">
        <v>32</v>
      </c>
      <c r="H30" s="11" t="s">
        <v>102</v>
      </c>
    </row>
    <row r="31" customFormat="false" ht="15" hidden="false" customHeight="false" outlineLevel="0" collapsed="false">
      <c r="A31" s="7" t="s">
        <v>103</v>
      </c>
      <c r="B31" s="8" t="s">
        <v>104</v>
      </c>
      <c r="C31" s="9" t="n">
        <v>2</v>
      </c>
      <c r="D31" s="9" t="n">
        <v>0.5</v>
      </c>
      <c r="E31" s="10" t="s">
        <v>14</v>
      </c>
      <c r="F31" s="7" t="s">
        <v>101</v>
      </c>
      <c r="G31" s="7" t="s">
        <v>32</v>
      </c>
      <c r="H31" s="11" t="s">
        <v>105</v>
      </c>
    </row>
    <row r="32" customFormat="false" ht="15" hidden="false" customHeight="false" outlineLevel="0" collapsed="false">
      <c r="A32" s="7" t="s">
        <v>106</v>
      </c>
      <c r="B32" s="8" t="s">
        <v>107</v>
      </c>
      <c r="C32" s="9" t="n">
        <v>6</v>
      </c>
      <c r="D32" s="9" t="n">
        <v>1.5</v>
      </c>
      <c r="E32" s="10" t="s">
        <v>14</v>
      </c>
      <c r="F32" s="7" t="s">
        <v>108</v>
      </c>
      <c r="G32" s="7" t="s">
        <v>109</v>
      </c>
      <c r="H32" s="11" t="s">
        <v>110</v>
      </c>
    </row>
    <row r="33" customFormat="false" ht="15" hidden="false" customHeight="false" outlineLevel="0" collapsed="false">
      <c r="A33" s="7" t="s">
        <v>111</v>
      </c>
      <c r="B33" s="8" t="s">
        <v>112</v>
      </c>
      <c r="C33" s="9" t="n">
        <v>8</v>
      </c>
      <c r="D33" s="9" t="n">
        <v>2</v>
      </c>
      <c r="E33" s="10" t="s">
        <v>14</v>
      </c>
      <c r="F33" s="7" t="s">
        <v>113</v>
      </c>
      <c r="G33" s="7" t="s">
        <v>114</v>
      </c>
      <c r="H33" s="11" t="s">
        <v>115</v>
      </c>
    </row>
    <row r="34" customFormat="false" ht="15" hidden="false" customHeight="false" outlineLevel="0" collapsed="false">
      <c r="A34" s="7" t="s">
        <v>116</v>
      </c>
      <c r="B34" s="8" t="s">
        <v>117</v>
      </c>
      <c r="C34" s="9" t="n">
        <v>4</v>
      </c>
      <c r="D34" s="9" t="n">
        <v>1</v>
      </c>
      <c r="E34" s="10" t="s">
        <v>14</v>
      </c>
      <c r="F34" s="7" t="s">
        <v>118</v>
      </c>
      <c r="G34" s="7" t="s">
        <v>114</v>
      </c>
      <c r="H34" s="11" t="s">
        <v>119</v>
      </c>
    </row>
    <row r="35" customFormat="false" ht="15" hidden="false" customHeight="false" outlineLevel="0" collapsed="false">
      <c r="A35" s="7" t="s">
        <v>120</v>
      </c>
      <c r="B35" s="8" t="s">
        <v>121</v>
      </c>
      <c r="C35" s="9" t="n">
        <v>1</v>
      </c>
      <c r="D35" s="9"/>
      <c r="E35" s="7" t="s">
        <v>69</v>
      </c>
      <c r="F35" s="7"/>
      <c r="G35" s="7"/>
      <c r="H35" s="11" t="s">
        <v>122</v>
      </c>
    </row>
    <row r="36" customFormat="false" ht="15" hidden="false" customHeight="false" outlineLevel="0" collapsed="false">
      <c r="A36" s="7" t="s">
        <v>123</v>
      </c>
      <c r="B36" s="8" t="s">
        <v>124</v>
      </c>
      <c r="C36" s="9" t="n">
        <v>3</v>
      </c>
      <c r="D36" s="9"/>
      <c r="E36" s="7" t="s">
        <v>69</v>
      </c>
      <c r="F36" s="7"/>
      <c r="G36" s="7"/>
      <c r="H36" s="11" t="s">
        <v>125</v>
      </c>
    </row>
    <row r="37" customFormat="false" ht="15" hidden="false" customHeight="false" outlineLevel="0" collapsed="false">
      <c r="A37" s="7" t="s">
        <v>126</v>
      </c>
      <c r="B37" s="8" t="s">
        <v>127</v>
      </c>
      <c r="C37" s="9" t="n">
        <v>3</v>
      </c>
      <c r="D37" s="9"/>
      <c r="E37" s="7" t="s">
        <v>69</v>
      </c>
      <c r="F37" s="7"/>
      <c r="G37" s="7"/>
      <c r="H37" s="11" t="s">
        <v>128</v>
      </c>
    </row>
    <row r="38" customFormat="false" ht="15" hidden="false" customHeight="false" outlineLevel="0" collapsed="false">
      <c r="A38" s="7" t="s">
        <v>129</v>
      </c>
      <c r="B38" s="8" t="s">
        <v>130</v>
      </c>
      <c r="C38" s="9" t="n">
        <v>4</v>
      </c>
      <c r="D38" s="9"/>
      <c r="E38" s="7" t="s">
        <v>69</v>
      </c>
      <c r="F38" s="7"/>
      <c r="G38" s="7"/>
      <c r="H38" s="11" t="s">
        <v>131</v>
      </c>
    </row>
    <row r="39" customFormat="false" ht="15" hidden="false" customHeight="false" outlineLevel="0" collapsed="false">
      <c r="A39" s="4" t="s">
        <v>132</v>
      </c>
      <c r="B39" s="5" t="s">
        <v>133</v>
      </c>
      <c r="C39" s="6"/>
      <c r="D39" s="6"/>
      <c r="E39" s="4"/>
      <c r="F39" s="4"/>
      <c r="G39" s="4"/>
      <c r="H39" s="5"/>
    </row>
    <row r="40" customFormat="false" ht="15" hidden="false" customHeight="false" outlineLevel="0" collapsed="false">
      <c r="A40" s="7" t="s">
        <v>134</v>
      </c>
      <c r="B40" s="8" t="s">
        <v>135</v>
      </c>
      <c r="C40" s="9" t="n">
        <v>3</v>
      </c>
      <c r="D40" s="9"/>
      <c r="E40" s="7" t="s">
        <v>69</v>
      </c>
      <c r="F40" s="7"/>
      <c r="G40" s="7"/>
      <c r="H40" s="11" t="s">
        <v>136</v>
      </c>
    </row>
    <row r="41" customFormat="false" ht="15" hidden="false" customHeight="false" outlineLevel="0" collapsed="false">
      <c r="A41" s="7" t="s">
        <v>137</v>
      </c>
      <c r="B41" s="8" t="s">
        <v>138</v>
      </c>
      <c r="C41" s="9" t="n">
        <v>4</v>
      </c>
      <c r="D41" s="9"/>
      <c r="E41" s="7" t="s">
        <v>69</v>
      </c>
      <c r="F41" s="7"/>
      <c r="G41" s="7"/>
      <c r="H41" s="11" t="s">
        <v>139</v>
      </c>
    </row>
    <row r="42" customFormat="false" ht="15" hidden="false" customHeight="false" outlineLevel="0" collapsed="false">
      <c r="A42" s="7" t="s">
        <v>140</v>
      </c>
      <c r="B42" s="8" t="s">
        <v>141</v>
      </c>
      <c r="C42" s="9" t="n">
        <v>4</v>
      </c>
      <c r="D42" s="9"/>
      <c r="E42" s="7" t="s">
        <v>69</v>
      </c>
      <c r="F42" s="7"/>
      <c r="G42" s="7"/>
      <c r="H42" s="11" t="s">
        <v>142</v>
      </c>
    </row>
    <row r="43" customFormat="false" ht="15" hidden="false" customHeight="false" outlineLevel="0" collapsed="false">
      <c r="A43" s="7" t="s">
        <v>143</v>
      </c>
      <c r="B43" s="8" t="s">
        <v>144</v>
      </c>
      <c r="C43" s="9" t="n">
        <v>6</v>
      </c>
      <c r="D43" s="9"/>
      <c r="E43" s="7" t="s">
        <v>69</v>
      </c>
      <c r="F43" s="7"/>
      <c r="G43" s="7"/>
      <c r="H43" s="11" t="s">
        <v>145</v>
      </c>
    </row>
    <row r="44" customFormat="false" ht="15" hidden="false" customHeight="false" outlineLevel="0" collapsed="false">
      <c r="A44" s="7" t="s">
        <v>146</v>
      </c>
      <c r="B44" s="8" t="s">
        <v>147</v>
      </c>
      <c r="C44" s="9" t="n">
        <v>3</v>
      </c>
      <c r="D44" s="9"/>
      <c r="E44" s="7" t="s">
        <v>69</v>
      </c>
      <c r="F44" s="7"/>
      <c r="G44" s="7"/>
      <c r="H44" s="11" t="s">
        <v>148</v>
      </c>
    </row>
    <row r="45" customFormat="false" ht="15" hidden="false" customHeight="false" outlineLevel="0" collapsed="false">
      <c r="A45" s="7" t="s">
        <v>149</v>
      </c>
      <c r="B45" s="8" t="s">
        <v>150</v>
      </c>
      <c r="C45" s="9" t="n">
        <v>2</v>
      </c>
      <c r="D45" s="9"/>
      <c r="E45" s="7" t="s">
        <v>69</v>
      </c>
      <c r="F45" s="7"/>
      <c r="G45" s="7"/>
      <c r="H45" s="11" t="s">
        <v>151</v>
      </c>
    </row>
    <row r="46" customFormat="false" ht="15" hidden="false" customHeight="false" outlineLevel="0" collapsed="false">
      <c r="A46" s="7" t="s">
        <v>152</v>
      </c>
      <c r="B46" s="8" t="s">
        <v>153</v>
      </c>
      <c r="C46" s="9" t="n">
        <v>5</v>
      </c>
      <c r="D46" s="9"/>
      <c r="E46" s="7" t="s">
        <v>69</v>
      </c>
      <c r="F46" s="7"/>
      <c r="G46" s="7"/>
      <c r="H46" s="11" t="s">
        <v>93</v>
      </c>
    </row>
    <row r="47" customFormat="false" ht="15" hidden="false" customHeight="false" outlineLevel="0" collapsed="false">
      <c r="A47" s="7" t="s">
        <v>154</v>
      </c>
      <c r="B47" s="8" t="s">
        <v>155</v>
      </c>
      <c r="C47" s="9" t="n">
        <v>4</v>
      </c>
      <c r="D47" s="9"/>
      <c r="E47" s="7" t="s">
        <v>69</v>
      </c>
      <c r="F47" s="7"/>
      <c r="G47" s="7"/>
      <c r="H47" s="11" t="s">
        <v>156</v>
      </c>
    </row>
    <row r="48" customFormat="false" ht="15" hidden="false" customHeight="false" outlineLevel="0" collapsed="false">
      <c r="A48" s="4" t="s">
        <v>157</v>
      </c>
      <c r="B48" s="5" t="s">
        <v>158</v>
      </c>
      <c r="C48" s="6"/>
      <c r="D48" s="6"/>
      <c r="E48" s="4"/>
      <c r="F48" s="4"/>
      <c r="G48" s="4"/>
      <c r="H48" s="5"/>
    </row>
    <row r="49" customFormat="false" ht="15" hidden="false" customHeight="false" outlineLevel="0" collapsed="false">
      <c r="A49" s="7" t="s">
        <v>159</v>
      </c>
      <c r="B49" s="8" t="s">
        <v>160</v>
      </c>
      <c r="C49" s="9" t="n">
        <v>6</v>
      </c>
      <c r="D49" s="9"/>
      <c r="E49" s="7" t="s">
        <v>69</v>
      </c>
      <c r="F49" s="7"/>
      <c r="G49" s="7"/>
      <c r="H49" s="11" t="s">
        <v>161</v>
      </c>
    </row>
    <row r="50" customFormat="false" ht="15" hidden="false" customHeight="false" outlineLevel="0" collapsed="false">
      <c r="A50" s="7" t="s">
        <v>162</v>
      </c>
      <c r="B50" s="8" t="s">
        <v>163</v>
      </c>
      <c r="C50" s="9" t="n">
        <v>8</v>
      </c>
      <c r="D50" s="9"/>
      <c r="E50" s="7" t="s">
        <v>69</v>
      </c>
      <c r="F50" s="7"/>
      <c r="G50" s="7"/>
      <c r="H50" s="11" t="s">
        <v>164</v>
      </c>
    </row>
    <row r="51" customFormat="false" ht="15" hidden="false" customHeight="false" outlineLevel="0" collapsed="false">
      <c r="A51" s="7" t="s">
        <v>165</v>
      </c>
      <c r="B51" s="8" t="s">
        <v>166</v>
      </c>
      <c r="C51" s="9" t="n">
        <v>4</v>
      </c>
      <c r="D51" s="9"/>
      <c r="E51" s="7" t="s">
        <v>69</v>
      </c>
      <c r="F51" s="7"/>
      <c r="G51" s="7"/>
      <c r="H51" s="11" t="s">
        <v>167</v>
      </c>
    </row>
    <row r="52" customFormat="false" ht="15" hidden="false" customHeight="false" outlineLevel="0" collapsed="false">
      <c r="A52" s="7" t="s">
        <v>168</v>
      </c>
      <c r="B52" s="8" t="s">
        <v>169</v>
      </c>
      <c r="C52" s="9" t="n">
        <v>4</v>
      </c>
      <c r="D52" s="9"/>
      <c r="E52" s="7" t="s">
        <v>69</v>
      </c>
      <c r="F52" s="7"/>
      <c r="G52" s="7"/>
      <c r="H52" s="11" t="s">
        <v>170</v>
      </c>
    </row>
    <row r="53" customFormat="false" ht="15" hidden="false" customHeight="false" outlineLevel="0" collapsed="false">
      <c r="A53" s="7" t="s">
        <v>171</v>
      </c>
      <c r="B53" s="8" t="s">
        <v>172</v>
      </c>
      <c r="C53" s="9" t="n">
        <v>4</v>
      </c>
      <c r="D53" s="9"/>
      <c r="E53" s="7" t="s">
        <v>69</v>
      </c>
      <c r="F53" s="7"/>
      <c r="G53" s="7"/>
      <c r="H53" s="11" t="s">
        <v>173</v>
      </c>
    </row>
    <row r="55" customFormat="false" ht="15" hidden="false" customHeight="false" outlineLevel="0" collapsed="false">
      <c r="A55" s="12" t="s">
        <v>174</v>
      </c>
      <c r="B55" s="12"/>
    </row>
    <row r="56" customFormat="false" ht="15" hidden="false" customHeight="false" outlineLevel="0" collapsed="false">
      <c r="B56" s="0" t="s">
        <v>175</v>
      </c>
      <c r="C56" s="0" t="n">
        <f aca="false">COUNTA(A5:A53)-COUNTIF(B5:B53,"PHASE*")</f>
        <v>43</v>
      </c>
    </row>
    <row r="57" customFormat="false" ht="15" hidden="false" customHeight="false" outlineLevel="0" collapsed="false">
      <c r="B57" s="0" t="s">
        <v>176</v>
      </c>
      <c r="C57" s="13" t="n">
        <f aca="false">COUNTIF(E5:E53,"*✅*")</f>
        <v>23</v>
      </c>
    </row>
    <row r="58" customFormat="false" ht="15" hidden="false" customHeight="false" outlineLevel="0" collapsed="false">
      <c r="B58" s="0" t="s">
        <v>177</v>
      </c>
      <c r="C58" s="0" t="n">
        <f aca="false">COUNTIF(E5:E53,"*⏳*")</f>
        <v>20</v>
      </c>
    </row>
    <row r="60" customFormat="false" ht="15" hidden="false" customHeight="false" outlineLevel="0" collapsed="false">
      <c r="B60" s="14" t="s">
        <v>178</v>
      </c>
      <c r="C60" s="15" t="n">
        <f aca="false">SUM(C5:C53)</f>
        <v>178.5</v>
      </c>
    </row>
    <row r="61" customFormat="false" ht="15" hidden="false" customHeight="false" outlineLevel="0" collapsed="false">
      <c r="B61" s="14" t="s">
        <v>179</v>
      </c>
      <c r="D61" s="16" t="n">
        <f aca="false">SUM(D5:D53)</f>
        <v>25</v>
      </c>
    </row>
    <row r="62" customFormat="false" ht="15" hidden="false" customHeight="false" outlineLevel="0" collapsed="false">
      <c r="B62" s="14" t="s">
        <v>180</v>
      </c>
      <c r="D62" s="17" t="n">
        <f aca="false">1-(SUM(D5:D53)/SUMIF(E5:E53,"*✅*",C5:C53))</f>
        <v>0.754901960784314</v>
      </c>
    </row>
    <row r="64" customFormat="false" ht="15" hidden="false" customHeight="false" outlineLevel="0" collapsed="false">
      <c r="B64" s="0" t="s">
        <v>181</v>
      </c>
      <c r="C64" s="18" t="n">
        <f aca="false">SUMIF(E5:E53,"*⏳*",C5:C53)</f>
        <v>76.5</v>
      </c>
    </row>
    <row r="65" customFormat="false" ht="15" hidden="false" customHeight="false" outlineLevel="0" collapsed="false">
      <c r="B65" s="0" t="s">
        <v>182</v>
      </c>
      <c r="D65" s="18" t="n">
        <f aca="false">SUMIF(E5:E53,"*⏳*",C5:C53)*0.25</f>
        <v>19.125</v>
      </c>
      <c r="E65" s="19" t="s">
        <v>183</v>
      </c>
    </row>
    <row r="67" customFormat="false" ht="15" hidden="false" customHeight="false" outlineLevel="0" collapsed="false">
      <c r="B67" s="0" t="s">
        <v>184</v>
      </c>
      <c r="C67" s="20" t="n">
        <f aca="false">SUMIF(E5:E53,"*✅*",C5:C53)/SUM(C5:C53)</f>
        <v>0.571428571428571</v>
      </c>
    </row>
    <row r="69" customFormat="false" ht="15" hidden="false" customHeight="false" outlineLevel="0" collapsed="false">
      <c r="A69" s="14" t="s">
        <v>185</v>
      </c>
    </row>
    <row r="70" customFormat="false" ht="15" hidden="false" customHeight="false" outlineLevel="0" collapsed="false">
      <c r="B70" s="13" t="s">
        <v>14</v>
      </c>
    </row>
    <row r="71" customFormat="false" ht="15" hidden="false" customHeight="false" outlineLevel="0" collapsed="false">
      <c r="B71" s="21" t="s">
        <v>186</v>
      </c>
    </row>
    <row r="72" customFormat="false" ht="15" hidden="false" customHeight="false" outlineLevel="0" collapsed="false">
      <c r="B72" s="0" t="s">
        <v>69</v>
      </c>
    </row>
    <row r="74" customFormat="false" ht="15" hidden="false" customHeight="false" outlineLevel="0" collapsed="false">
      <c r="A74" s="14" t="s">
        <v>187</v>
      </c>
      <c r="B74" s="22" t="s">
        <v>188</v>
      </c>
    </row>
    <row r="75" customFormat="false" ht="15" hidden="false" customHeight="false" outlineLevel="0" collapsed="false">
      <c r="A75" s="14" t="s">
        <v>189</v>
      </c>
      <c r="B75" s="22" t="s">
        <v>190</v>
      </c>
    </row>
  </sheetData>
  <mergeCells count="3">
    <mergeCell ref="A2:H2"/>
    <mergeCell ref="A3:H3"/>
    <mergeCell ref="A55:B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2026-01-18T18:27:04Z</dcterms:created>
  <dc:creator>openpyxl</dc:creator>
  <dc:description/>
  <dc:language>en-US</dc:language>
  <cp:lastModifiedBy/>
  <dcterms:modified xsi:type="dcterms:W3CDTF">2026-01-18T18:27:04Z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