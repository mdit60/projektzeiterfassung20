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ZE-V7-Projektplan" sheetId="1" state="visible" r:id="rId1"/>
  </sheets>
  <definedNames>
    <definedName name="_xlnm.Print_Titles" localSheetId="0">'PZE-V7-Projektplan'!$1:$1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sz val="14"/>
    </font>
    <font>
      <name val="Cambria"/>
      <charset val="1"/>
      <family val="0"/>
      <b val="1"/>
      <sz val="11"/>
    </font>
    <font>
      <name val="Cambria"/>
      <charset val="1"/>
      <family val="0"/>
      <sz val="10"/>
    </font>
    <font>
      <name val="Cambria"/>
      <charset val="1"/>
      <family val="0"/>
      <b val="1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FF002451"/>
        <bgColor rgb="FF003300"/>
      </patternFill>
    </fill>
    <fill>
      <patternFill patternType="solid">
        <fgColor rgb="FFD9D9D9"/>
        <bgColor rgb="FFC6EFCE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0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3" borderId="1" applyAlignment="1" pivotButton="0" quotePrefix="0" xfId="0">
      <alignment horizontal="center" vertical="bottom"/>
    </xf>
    <xf numFmtId="0" fontId="6" fillId="3" borderId="1" applyAlignment="1" pivotButton="0" quotePrefix="0" xfId="0">
      <alignment horizontal="general" vertical="bottom"/>
    </xf>
    <xf numFmtId="164" fontId="6" fillId="3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0" fillId="4" borderId="0" applyAlignment="1" pivotButton="0" quotePrefix="0" xfId="0">
      <alignment horizontal="general" vertical="bottom"/>
    </xf>
    <xf numFmtId="164" fontId="8" fillId="5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3" borderId="1" applyAlignment="1" pivotButton="0" quotePrefix="0" xfId="0">
      <alignment horizontal="center" vertical="bottom"/>
    </xf>
    <xf numFmtId="0" fontId="6" fillId="3" borderId="1" applyAlignment="1" pivotButton="0" quotePrefix="0" xfId="0">
      <alignment horizontal="general" vertical="bottom"/>
    </xf>
    <xf numFmtId="164" fontId="6" fillId="3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9" fillId="0" borderId="0" pivotButton="0" quotePrefix="0" xfId="0"/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0" fillId="4" borderId="0" applyAlignment="1" pivotButton="0" quotePrefix="0" xfId="0">
      <alignment horizontal="general" vertical="bottom"/>
    </xf>
    <xf numFmtId="164" fontId="8" fillId="5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45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G7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20" min="1" max="1"/>
    <col width="45" customWidth="1" style="20" min="2" max="2"/>
    <col width="12" customWidth="1" style="20" min="3" max="4"/>
    <col width="14" customWidth="1" style="20" min="5" max="6"/>
    <col width="40" customWidth="1" style="20" min="7" max="7"/>
  </cols>
  <sheetData>
    <row r="1" ht="15" customHeight="1" s="21">
      <c r="A1" s="22" t="inlineStr">
        <is>
          <t>Nr.</t>
        </is>
      </c>
      <c r="B1" s="22" t="inlineStr">
        <is>
          <t>Arbeitspaket / Aufgabe</t>
        </is>
      </c>
      <c r="C1" s="22" t="inlineStr">
        <is>
          <t>Aufwand (h)</t>
        </is>
      </c>
      <c r="D1" s="22" t="inlineStr">
        <is>
          <t>Status</t>
        </is>
      </c>
      <c r="E1" s="22" t="inlineStr">
        <is>
          <t>Version</t>
        </is>
      </c>
      <c r="F1" s="22" t="inlineStr">
        <is>
          <t>Datum</t>
        </is>
      </c>
      <c r="G1" s="22" t="inlineStr">
        <is>
          <t>Bemerkungen</t>
        </is>
      </c>
    </row>
    <row r="2" ht="17.35" customHeight="1" s="21">
      <c r="A2" s="23" t="inlineStr">
        <is>
          <t>PZE v7 - PROJEKTPLAN (Stand: 18.01.2026)</t>
        </is>
      </c>
    </row>
    <row r="3"/>
    <row r="4" ht="15" customHeight="1" s="21">
      <c r="A4" s="24" t="inlineStr">
        <is>
          <t>1</t>
        </is>
      </c>
      <c r="B4" s="25" t="inlineStr">
        <is>
          <t>PHASE 1: BASIS-INFRASTRUKTUR</t>
        </is>
      </c>
      <c r="C4" s="26" t="n"/>
      <c r="D4" s="24" t="n"/>
      <c r="E4" s="24" t="n"/>
      <c r="F4" s="24" t="n"/>
      <c r="G4" s="25" t="n"/>
    </row>
    <row r="5" ht="15" customHeight="1" s="21">
      <c r="A5" s="27" t="inlineStr">
        <is>
          <t>1.1</t>
        </is>
      </c>
      <c r="B5" s="28" t="inlineStr">
        <is>
          <t>V7-Datenbank-Schema erstellen</t>
        </is>
      </c>
      <c r="C5" s="29" t="n">
        <v>4</v>
      </c>
      <c r="D5" s="30" t="inlineStr">
        <is>
          <t>✅ Fertig</t>
        </is>
      </c>
      <c r="E5" s="27" t="inlineStr">
        <is>
          <t>v7.0.0</t>
        </is>
      </c>
      <c r="F5" s="27" t="inlineStr">
        <is>
          <t>30.12.2025</t>
        </is>
      </c>
      <c r="G5" s="31" t="inlineStr">
        <is>
          <t>v7_* Tabellen</t>
        </is>
      </c>
    </row>
    <row r="6" ht="15" customHeight="1" s="21">
      <c r="A6" s="27" t="inlineStr">
        <is>
          <t>1.2</t>
        </is>
      </c>
      <c r="B6" s="28" t="inlineStr">
        <is>
          <t>Login &amp; Authentifizierung</t>
        </is>
      </c>
      <c r="C6" s="29" t="n">
        <v>2</v>
      </c>
      <c r="D6" s="30" t="inlineStr">
        <is>
          <t>✅ Fertig</t>
        </is>
      </c>
      <c r="E6" s="27" t="inlineStr">
        <is>
          <t>v7.0.0</t>
        </is>
      </c>
      <c r="F6" s="27" t="inlineStr">
        <is>
          <t>30.12.2025</t>
        </is>
      </c>
      <c r="G6" s="31" t="inlineStr">
        <is>
          <t>Supabase Auth</t>
        </is>
      </c>
    </row>
    <row r="7" ht="15" customHeight="1" s="21">
      <c r="A7" s="27" t="inlineStr">
        <is>
          <t>1.3</t>
        </is>
      </c>
      <c r="B7" s="28" t="inlineStr">
        <is>
          <t>Rollenbasierter Redirect</t>
        </is>
      </c>
      <c r="C7" s="29" t="n">
        <v>3</v>
      </c>
      <c r="D7" s="30" t="inlineStr">
        <is>
          <t>✅ Fertig</t>
        </is>
      </c>
      <c r="E7" s="27" t="inlineStr">
        <is>
          <t>v7.1.1</t>
        </is>
      </c>
      <c r="F7" s="27" t="inlineStr">
        <is>
          <t>02.01.2026</t>
        </is>
      </c>
      <c r="G7" s="31" t="inlineStr">
        <is>
          <t>Berater→/v7/berater, Firma→/v7/firma</t>
        </is>
      </c>
    </row>
    <row r="8" ht="15" customHeight="1" s="21">
      <c r="A8" s="27" t="inlineStr">
        <is>
          <t>1.4</t>
        </is>
      </c>
      <c r="B8" s="28" t="inlineStr">
        <is>
          <t>Berater-Dashboard Grundstruktur</t>
        </is>
      </c>
      <c r="C8" s="29" t="n">
        <v>4</v>
      </c>
      <c r="D8" s="30" t="inlineStr">
        <is>
          <t>✅ Fertig</t>
        </is>
      </c>
      <c r="E8" s="27" t="inlineStr">
        <is>
          <t>v7.1.1</t>
        </is>
      </c>
      <c r="F8" s="27" t="inlineStr">
        <is>
          <t>02.01.2026</t>
        </is>
      </c>
      <c r="G8" s="31" t="inlineStr">
        <is>
          <t>2 Kacheln: Förderung + FZul</t>
        </is>
      </c>
    </row>
    <row r="9" ht="15" customHeight="1" s="21">
      <c r="A9" s="27" t="inlineStr">
        <is>
          <t>1.5</t>
        </is>
      </c>
      <c r="B9" s="28" t="inlineStr">
        <is>
          <t>Navigation &amp; Header-Design</t>
        </is>
      </c>
      <c r="C9" s="29" t="n">
        <v>3</v>
      </c>
      <c r="D9" s="30" t="inlineStr">
        <is>
          <t>✅ Fertig</t>
        </is>
      </c>
      <c r="E9" s="27" t="inlineStr">
        <is>
          <t>v7.3.1</t>
        </is>
      </c>
      <c r="F9" s="27" t="inlineStr">
        <is>
          <t>06.01.2026</t>
        </is>
      </c>
      <c r="G9" s="31" t="inlineStr">
        <is>
          <t>Blau=Berater, Grün=Firma</t>
        </is>
      </c>
    </row>
    <row r="10" ht="15" customHeight="1" s="21">
      <c r="A10" s="24" t="inlineStr">
        <is>
          <t>2</t>
        </is>
      </c>
      <c r="B10" s="25" t="inlineStr">
        <is>
          <t>PHASE 2: BERATER-PORTAL CRUD</t>
        </is>
      </c>
      <c r="C10" s="26" t="n"/>
      <c r="D10" s="24" t="n"/>
      <c r="E10" s="24" t="n"/>
      <c r="F10" s="24" t="n"/>
      <c r="G10" s="25" t="n"/>
    </row>
    <row r="11" ht="15" customHeight="1" s="21">
      <c r="A11" s="27" t="inlineStr">
        <is>
          <t>2.1</t>
        </is>
      </c>
      <c r="B11" s="28" t="inlineStr">
        <is>
          <t>Firmenübersicht (Förderberatung)</t>
        </is>
      </c>
      <c r="C11" s="29" t="n">
        <v>4</v>
      </c>
      <c r="D11" s="30" t="inlineStr">
        <is>
          <t>✅ Fertig</t>
        </is>
      </c>
      <c r="E11" s="27" t="inlineStr">
        <is>
          <t>v7.1.2</t>
        </is>
      </c>
      <c r="F11" s="27" t="inlineStr">
        <is>
          <t>03.01.2026</t>
        </is>
      </c>
      <c r="G11" s="31" t="inlineStr">
        <is>
          <t>Liste aller Kundenfirmen</t>
        </is>
      </c>
    </row>
    <row r="12" ht="15" customHeight="1" s="21">
      <c r="A12" s="27" t="inlineStr">
        <is>
          <t>2.2</t>
        </is>
      </c>
      <c r="B12" s="28" t="inlineStr">
        <is>
          <t>Firma anlegen/bearbeiten</t>
        </is>
      </c>
      <c r="C12" s="29" t="n">
        <v>6</v>
      </c>
      <c r="D12" s="30" t="inlineStr">
        <is>
          <t>✅ Fertig</t>
        </is>
      </c>
      <c r="E12" s="27" t="inlineStr">
        <is>
          <t>v7.1.3</t>
        </is>
      </c>
      <c r="F12" s="27" t="inlineStr">
        <is>
          <t>03.01.2026</t>
        </is>
      </c>
      <c r="G12" s="31" t="inlineStr">
        <is>
          <t>Modal mit Validierung</t>
        </is>
      </c>
    </row>
    <row r="13" ht="15" customHeight="1" s="21">
      <c r="A13" s="27" t="inlineStr">
        <is>
          <t>2.3</t>
        </is>
      </c>
      <c r="B13" s="28" t="inlineStr">
        <is>
          <t>Firmen-Detailseite</t>
        </is>
      </c>
      <c r="C13" s="29" t="n">
        <v>8</v>
      </c>
      <c r="D13" s="30" t="inlineStr">
        <is>
          <t>✅ Fertig</t>
        </is>
      </c>
      <c r="E13" s="27" t="inlineStr">
        <is>
          <t>v7.1.3</t>
        </is>
      </c>
      <c r="F13" s="27" t="inlineStr">
        <is>
          <t>03.01.2026</t>
        </is>
      </c>
      <c r="G13" s="31" t="inlineStr">
        <is>
          <t>Projekte, MA, APs</t>
        </is>
      </c>
    </row>
    <row r="14" ht="15" customHeight="1" s="21">
      <c r="A14" s="27" t="inlineStr">
        <is>
          <t>2.4</t>
        </is>
      </c>
      <c r="B14" s="28" t="inlineStr">
        <is>
          <t>Projekt anlegen/bearbeiten</t>
        </is>
      </c>
      <c r="C14" s="29" t="n">
        <v>4</v>
      </c>
      <c r="D14" s="30" t="inlineStr">
        <is>
          <t>✅ Fertig</t>
        </is>
      </c>
      <c r="E14" s="27" t="inlineStr">
        <is>
          <t>v7.1.3</t>
        </is>
      </c>
      <c r="F14" s="27" t="inlineStr">
        <is>
          <t>03.01.2026</t>
        </is>
      </c>
      <c r="G14" s="31" t="n"/>
    </row>
    <row r="15" ht="15" customHeight="1" s="21">
      <c r="A15" s="27" t="inlineStr">
        <is>
          <t>2.5</t>
        </is>
      </c>
      <c r="B15" s="28" t="inlineStr">
        <is>
          <t>Mitarbeiter anlegen/bearbeiten</t>
        </is>
      </c>
      <c r="C15" s="29" t="n">
        <v>4</v>
      </c>
      <c r="D15" s="30" t="inlineStr">
        <is>
          <t>✅ Fertig</t>
        </is>
      </c>
      <c r="E15" s="27" t="inlineStr">
        <is>
          <t>v7.1.3</t>
        </is>
      </c>
      <c r="F15" s="27" t="inlineStr">
        <is>
          <t>03.01.2026</t>
        </is>
      </c>
      <c r="G15" s="31" t="n"/>
    </row>
    <row r="16" ht="15" customHeight="1" s="21">
      <c r="A16" s="27" t="inlineStr">
        <is>
          <t>2.6</t>
        </is>
      </c>
      <c r="B16" s="28" t="inlineStr">
        <is>
          <t>Arbeitspakete CRUD</t>
        </is>
      </c>
      <c r="C16" s="29" t="n">
        <v>6</v>
      </c>
      <c r="D16" s="30" t="inlineStr">
        <is>
          <t>✅ Fertig</t>
        </is>
      </c>
      <c r="E16" s="27" t="inlineStr">
        <is>
          <t>v7.1.4</t>
        </is>
      </c>
      <c r="F16" s="27" t="inlineStr">
        <is>
          <t>03.01.2026</t>
        </is>
      </c>
      <c r="G16" s="31" t="inlineStr">
        <is>
          <t>Mit Personenmonaten</t>
        </is>
      </c>
    </row>
    <row r="17" ht="15" customHeight="1" s="21">
      <c r="A17" s="27" t="inlineStr">
        <is>
          <t>2.7</t>
        </is>
      </c>
      <c r="B17" s="28" t="inlineStr">
        <is>
          <t>MA → Projekt zuordnen</t>
        </is>
      </c>
      <c r="C17" s="29" t="n">
        <v>3</v>
      </c>
      <c r="D17" s="30" t="inlineStr">
        <is>
          <t>✅ Fertig</t>
        </is>
      </c>
      <c r="E17" s="27" t="inlineStr">
        <is>
          <t>v7.1.5</t>
        </is>
      </c>
      <c r="F17" s="27" t="inlineStr">
        <is>
          <t>03.01.2026</t>
        </is>
      </c>
      <c r="G17" s="31" t="n"/>
    </row>
    <row r="18" ht="15" customHeight="1" s="21">
      <c r="A18" s="27" t="inlineStr">
        <is>
          <t>2.8</t>
        </is>
      </c>
      <c r="B18" s="28" t="inlineStr">
        <is>
          <t>MA → AP zuordnen</t>
        </is>
      </c>
      <c r="C18" s="29" t="n">
        <v>4</v>
      </c>
      <c r="D18" s="30" t="inlineStr">
        <is>
          <t>✅ Fertig</t>
        </is>
      </c>
      <c r="E18" s="27" t="inlineStr">
        <is>
          <t>v7.1.6</t>
        </is>
      </c>
      <c r="F18" s="27" t="inlineStr">
        <is>
          <t>03.01.2026</t>
        </is>
      </c>
      <c r="G18" s="31" t="inlineStr">
        <is>
          <t>Mit PM-Planung</t>
        </is>
      </c>
    </row>
    <row r="19" ht="15" customHeight="1" s="21">
      <c r="A19" s="27" t="inlineStr">
        <is>
          <t>2.9</t>
        </is>
      </c>
      <c r="B19" s="28" t="inlineStr">
        <is>
          <t>Logo-Upload für Firmen</t>
        </is>
      </c>
      <c r="C19" s="29" t="n">
        <v>3</v>
      </c>
      <c r="D19" s="30" t="inlineStr">
        <is>
          <t>✅ Fertig</t>
        </is>
      </c>
      <c r="E19" s="27" t="inlineStr">
        <is>
          <t>v7.3.2</t>
        </is>
      </c>
      <c r="F19" s="27" t="inlineStr">
        <is>
          <t>06.01.2026</t>
        </is>
      </c>
      <c r="G19" s="31" t="inlineStr">
        <is>
          <t>Supabase Storage</t>
        </is>
      </c>
    </row>
    <row r="20" ht="15" customHeight="1" s="21">
      <c r="A20" s="27" t="inlineStr">
        <is>
          <t>2.10</t>
        </is>
      </c>
      <c r="B20" s="28" t="inlineStr">
        <is>
          <t>Firmen-Detailseite Header-Farbe</t>
        </is>
      </c>
      <c r="C20" s="29" t="n">
        <v>0.5</v>
      </c>
      <c r="D20" s="27" t="inlineStr">
        <is>
          <t>⏳ Offen</t>
        </is>
      </c>
      <c r="E20" s="27" t="n"/>
      <c r="F20" s="27" t="n"/>
      <c r="G20" s="31" t="inlineStr">
        <is>
          <t>Noch grün statt blau</t>
        </is>
      </c>
    </row>
    <row r="21" ht="15" customHeight="1" s="21">
      <c r="A21" s="24" t="inlineStr">
        <is>
          <t>2b</t>
        </is>
      </c>
      <c r="B21" s="25" t="inlineStr">
        <is>
          <t>PHASE 2b: ZIM-PDF-IMPORT</t>
        </is>
      </c>
      <c r="C21" s="26" t="n"/>
      <c r="D21" s="24" t="n"/>
      <c r="E21" s="24" t="n"/>
      <c r="F21" s="24" t="n"/>
      <c r="G21" s="25" t="n"/>
    </row>
    <row r="22" ht="15" customHeight="1" s="21">
      <c r="A22" s="27" t="inlineStr">
        <is>
          <t>2b.1</t>
        </is>
      </c>
      <c r="B22" s="28" t="inlineStr">
        <is>
          <t>Python PDF-Parser entwickeln</t>
        </is>
      </c>
      <c r="C22" s="29" t="n">
        <v>8</v>
      </c>
      <c r="D22" s="30" t="inlineStr">
        <is>
          <t>✅ Fertig</t>
        </is>
      </c>
      <c r="E22" s="27" t="inlineStr">
        <is>
          <t>v7.2.0</t>
        </is>
      </c>
      <c r="F22" s="27" t="inlineStr">
        <is>
          <t>04.01.2026</t>
        </is>
      </c>
      <c r="G22" s="31" t="inlineStr">
        <is>
          <t>PyMuPDF, Railway</t>
        </is>
      </c>
    </row>
    <row r="23" ht="15" customHeight="1" s="21">
      <c r="A23" s="27" t="inlineStr">
        <is>
          <t>2b.2</t>
        </is>
      </c>
      <c r="B23" s="28" t="inlineStr">
        <is>
          <t>Railway Microservice deployen</t>
        </is>
      </c>
      <c r="C23" s="29" t="n">
        <v>2</v>
      </c>
      <c r="D23" s="30" t="inlineStr">
        <is>
          <t>✅ Fertig</t>
        </is>
      </c>
      <c r="E23" s="27" t="inlineStr">
        <is>
          <t>v7.2.1</t>
        </is>
      </c>
      <c r="F23" s="27" t="inlineStr">
        <is>
          <t>04.01.2026</t>
        </is>
      </c>
      <c r="G23" s="31" t="inlineStr">
        <is>
          <t>web-production-e2e1.up.railway.app</t>
        </is>
      </c>
    </row>
    <row r="24" ht="15" customHeight="1" s="21">
      <c r="A24" s="27" t="inlineStr">
        <is>
          <t>2b.3</t>
        </is>
      </c>
      <c r="B24" s="28" t="inlineStr">
        <is>
          <t>Import-Seite UI</t>
        </is>
      </c>
      <c r="C24" s="29" t="n">
        <v>6</v>
      </c>
      <c r="D24" s="30" t="inlineStr">
        <is>
          <t>✅ Fertig</t>
        </is>
      </c>
      <c r="E24" s="27" t="inlineStr">
        <is>
          <t>v7.2.3</t>
        </is>
      </c>
      <c r="F24" s="27" t="inlineStr">
        <is>
          <t>05.01.2026</t>
        </is>
      </c>
      <c r="G24" s="31" t="inlineStr">
        <is>
          <t>Vorschau + Import</t>
        </is>
      </c>
    </row>
    <row r="25" ht="15" customHeight="1" s="21">
      <c r="A25" s="27" t="inlineStr">
        <is>
          <t>2b.4</t>
        </is>
      </c>
      <c r="B25" s="28" t="inlineStr">
        <is>
          <t>Automatischer Reimport</t>
        </is>
      </c>
      <c r="C25" s="29" t="n">
        <v>4</v>
      </c>
      <c r="D25" s="30" t="inlineStr">
        <is>
          <t>✅ Fertig</t>
        </is>
      </c>
      <c r="E25" s="27" t="inlineStr">
        <is>
          <t>v7.2.4</t>
        </is>
      </c>
      <c r="F25" s="27" t="inlineStr">
        <is>
          <t>05.01.2026</t>
        </is>
      </c>
      <c r="G25" s="31" t="inlineStr">
        <is>
          <t>Bestehende Daten aktualisieren</t>
        </is>
      </c>
    </row>
    <row r="26" ht="15" customHeight="1" s="21">
      <c r="A26" s="27" t="inlineStr">
        <is>
          <t>2b.5</t>
        </is>
      </c>
      <c r="B26" s="28" t="inlineStr">
        <is>
          <t>ZIM-Excel-Import</t>
        </is>
      </c>
      <c r="C26" s="29" t="n">
        <v>4</v>
      </c>
      <c r="D26" s="27" t="inlineStr">
        <is>
          <t>⏳ Offen</t>
        </is>
      </c>
      <c r="E26" s="27" t="n"/>
      <c r="F26" s="27" t="n"/>
      <c r="G26" s="31" t="inlineStr">
        <is>
          <t>Stundennachweis-Import</t>
        </is>
      </c>
    </row>
    <row r="27" ht="15" customHeight="1" s="21">
      <c r="A27" s="27" t="inlineStr">
        <is>
          <t>2b.6</t>
        </is>
      </c>
      <c r="B27" s="28" t="inlineStr">
        <is>
          <t>BMBF-Excel-Import</t>
        </is>
      </c>
      <c r="C27" s="29" t="n">
        <v>4</v>
      </c>
      <c r="D27" s="27" t="inlineStr">
        <is>
          <t>⏳ Offen</t>
        </is>
      </c>
      <c r="E27" s="27" t="n"/>
      <c r="F27" s="27" t="n"/>
      <c r="G27" s="31" t="inlineStr">
        <is>
          <t>Anderes Format</t>
        </is>
      </c>
    </row>
    <row r="28" ht="15" customHeight="1" s="21">
      <c r="A28" s="24" t="inlineStr">
        <is>
          <t>3</t>
        </is>
      </c>
      <c r="B28" s="25" t="inlineStr">
        <is>
          <t>PHASE 3: FIRMEN-PORTAL</t>
        </is>
      </c>
      <c r="C28" s="26" t="n"/>
      <c r="D28" s="24" t="n"/>
      <c r="E28" s="24" t="n"/>
      <c r="F28" s="24" t="n"/>
      <c r="G28" s="25" t="n"/>
    </row>
    <row r="29" ht="15" customHeight="1" s="21">
      <c r="A29" s="27" t="inlineStr">
        <is>
          <t>3.1</t>
        </is>
      </c>
      <c r="B29" s="28" t="inlineStr">
        <is>
          <t>Firmen-Dashboard</t>
        </is>
      </c>
      <c r="C29" s="29" t="n">
        <v>4</v>
      </c>
      <c r="D29" s="30" t="inlineStr">
        <is>
          <t>✅ Fertig</t>
        </is>
      </c>
      <c r="E29" s="27" t="inlineStr">
        <is>
          <t>v7.3.0</t>
        </is>
      </c>
      <c r="F29" s="27" t="inlineStr">
        <is>
          <t>06.01.2026</t>
        </is>
      </c>
      <c r="G29" s="31" t="inlineStr">
        <is>
          <t>Statistiken + Kacheln</t>
        </is>
      </c>
    </row>
    <row r="30" ht="15" customHeight="1" s="21">
      <c r="A30" s="27" t="inlineStr">
        <is>
          <t>3.2</t>
        </is>
      </c>
      <c r="B30" s="28" t="inlineStr">
        <is>
          <t>Firmen-Portal Navigation</t>
        </is>
      </c>
      <c r="C30" s="29" t="n">
        <v>2</v>
      </c>
      <c r="D30" s="30" t="inlineStr">
        <is>
          <t>✅ Fertig</t>
        </is>
      </c>
      <c r="E30" s="27" t="inlineStr">
        <is>
          <t>v7.3.0</t>
        </is>
      </c>
      <c r="F30" s="27" t="inlineStr">
        <is>
          <t>06.01.2026</t>
        </is>
      </c>
      <c r="G30" s="31" t="inlineStr">
        <is>
          <t>Header grün</t>
        </is>
      </c>
    </row>
    <row r="31" ht="15" customHeight="1" s="21">
      <c r="A31" s="27" t="inlineStr">
        <is>
          <t>3.3</t>
        </is>
      </c>
      <c r="B31" s="28" t="inlineStr">
        <is>
          <t>Zeiterfassung - Grundgerüst</t>
        </is>
      </c>
      <c r="C31" s="29" t="n">
        <v>6</v>
      </c>
      <c r="D31" s="30" t="inlineStr">
        <is>
          <t>✅ Fertig</t>
        </is>
      </c>
      <c r="E31" s="27" t="inlineStr">
        <is>
          <t>v7.3.6</t>
        </is>
      </c>
      <c r="F31" s="27" t="inlineStr">
        <is>
          <t>07.01.2026</t>
        </is>
      </c>
      <c r="G31" s="31" t="inlineStr">
        <is>
          <t>Monatsansicht</t>
        </is>
      </c>
    </row>
    <row r="32" ht="15" customHeight="1" s="21">
      <c r="A32" s="27" t="inlineStr">
        <is>
          <t>3.4</t>
        </is>
      </c>
      <c r="B32" s="28" t="inlineStr">
        <is>
          <t>Zeiterfassung - Excel-Navigation</t>
        </is>
      </c>
      <c r="C32" s="29" t="n">
        <v>8</v>
      </c>
      <c r="D32" s="30" t="inlineStr">
        <is>
          <t>✅ Fertig</t>
        </is>
      </c>
      <c r="E32" s="27" t="inlineStr">
        <is>
          <t>v7.3.10</t>
        </is>
      </c>
      <c r="F32" s="27" t="inlineStr">
        <is>
          <t>08.01.2026</t>
        </is>
      </c>
      <c r="G32" s="31" t="inlineStr">
        <is>
          <t>Tab, Enter, Pfeiltasten</t>
        </is>
      </c>
    </row>
    <row r="33" ht="15" customHeight="1" s="21">
      <c r="A33" s="27" t="inlineStr">
        <is>
          <t>3.5</t>
        </is>
      </c>
      <c r="B33" s="28" t="inlineStr">
        <is>
          <t>Zeiterfassung - PDF-Export</t>
        </is>
      </c>
      <c r="C33" s="29" t="n">
        <v>4</v>
      </c>
      <c r="D33" s="30" t="inlineStr">
        <is>
          <t>✅ Fertig</t>
        </is>
      </c>
      <c r="E33" s="27" t="inlineStr">
        <is>
          <t>v7.3.12</t>
        </is>
      </c>
      <c r="F33" s="27" t="inlineStr">
        <is>
          <t>08.01.2026</t>
        </is>
      </c>
      <c r="G33" s="31" t="inlineStr">
        <is>
          <t>jsPDF, Auto-Filename</t>
        </is>
      </c>
    </row>
    <row r="34" ht="15" customHeight="1" s="21">
      <c r="A34" s="27" t="inlineStr">
        <is>
          <t>3.6</t>
        </is>
      </c>
      <c r="B34" s="28" t="inlineStr">
        <is>
          <t>Zeiterfassung - Wording projektartspezifisch</t>
        </is>
      </c>
      <c r="C34" s="29" t="n">
        <v>1</v>
      </c>
      <c r="D34" s="27" t="inlineStr">
        <is>
          <t>⏳ Offen</t>
        </is>
      </c>
      <c r="E34" s="27" t="n"/>
      <c r="F34" s="27" t="n"/>
      <c r="G34" s="31" t="inlineStr">
        <is>
          <t>Netzwerk vs Standard</t>
        </is>
      </c>
    </row>
    <row r="35" ht="15" customHeight="1" s="21">
      <c r="A35" s="27" t="inlineStr">
        <is>
          <t>3.7</t>
        </is>
      </c>
      <c r="B35" s="28" t="inlineStr">
        <is>
          <t>Projekte verwalten (/firma/projekte)</t>
        </is>
      </c>
      <c r="C35" s="29" t="n">
        <v>3</v>
      </c>
      <c r="D35" s="27" t="inlineStr">
        <is>
          <t>⏳ Offen</t>
        </is>
      </c>
      <c r="E35" s="27" t="n"/>
      <c r="F35" s="27" t="n"/>
      <c r="G35" s="31" t="inlineStr">
        <is>
          <t>Eigene Projekte sehen</t>
        </is>
      </c>
    </row>
    <row r="36" ht="15" customHeight="1" s="21">
      <c r="A36" s="27" t="inlineStr">
        <is>
          <t>3.8</t>
        </is>
      </c>
      <c r="B36" s="28" t="inlineStr">
        <is>
          <t>Mitarbeiter verwalten (/firma/mitarbeiter)</t>
        </is>
      </c>
      <c r="C36" s="29" t="n">
        <v>3</v>
      </c>
      <c r="D36" s="27" t="inlineStr">
        <is>
          <t>⏳ Offen</t>
        </is>
      </c>
      <c r="E36" s="27" t="n"/>
      <c r="F36" s="27" t="n"/>
      <c r="G36" s="31" t="inlineStr">
        <is>
          <t>MA-Stammdaten pflegen</t>
        </is>
      </c>
    </row>
    <row r="37" ht="15" customHeight="1" s="21">
      <c r="A37" s="27" t="inlineStr">
        <is>
          <t>3.9</t>
        </is>
      </c>
      <c r="B37" s="28" t="inlineStr">
        <is>
          <t>Berichte (/firma/berichte)</t>
        </is>
      </c>
      <c r="C37" s="29" t="n">
        <v>4</v>
      </c>
      <c r="D37" s="27" t="inlineStr">
        <is>
          <t>⏳ Offen</t>
        </is>
      </c>
      <c r="E37" s="27" t="n"/>
      <c r="F37" s="27" t="n"/>
      <c r="G37" s="31" t="inlineStr">
        <is>
          <t>Exports, Übersichten</t>
        </is>
      </c>
    </row>
    <row r="38" ht="15" customHeight="1" s="21">
      <c r="A38" s="24" t="inlineStr">
        <is>
          <t>4</t>
        </is>
      </c>
      <c r="B38" s="25" t="inlineStr">
        <is>
          <t>PHASE 4: FZUL-MIGRATION</t>
        </is>
      </c>
      <c r="C38" s="26" t="n"/>
      <c r="D38" s="24" t="n"/>
      <c r="E38" s="24" t="n"/>
      <c r="F38" s="24" t="n"/>
      <c r="G38" s="25" t="n"/>
    </row>
    <row r="39" ht="15" customHeight="1" s="21">
      <c r="A39" s="27" t="inlineStr">
        <is>
          <t>4.1</t>
        </is>
      </c>
      <c r="B39" s="28" t="inlineStr">
        <is>
          <t>FZul-Datenbank-Tabellen</t>
        </is>
      </c>
      <c r="C39" s="29" t="n">
        <v>3</v>
      </c>
      <c r="D39" s="27" t="inlineStr">
        <is>
          <t>⏳ Offen</t>
        </is>
      </c>
      <c r="E39" s="27" t="n"/>
      <c r="F39" s="27" t="n"/>
      <c r="G39" s="31" t="inlineStr">
        <is>
          <t>fzul_employee_settings, fzul_timesheets, fzul_pdf_archive</t>
        </is>
      </c>
    </row>
    <row r="40" ht="15" customHeight="1" s="21">
      <c r="A40" s="27" t="inlineStr">
        <is>
          <t>4.2</t>
        </is>
      </c>
      <c r="B40" s="28" t="inlineStr">
        <is>
          <t>MA-Stammdaten UI</t>
        </is>
      </c>
      <c r="C40" s="29" t="n">
        <v>4</v>
      </c>
      <c r="D40" s="27" t="inlineStr">
        <is>
          <t>⏳ Offen</t>
        </is>
      </c>
      <c r="E40" s="27" t="n"/>
      <c r="F40" s="27" t="n"/>
      <c r="G40" s="31" t="inlineStr">
        <is>
          <t>Tab "MA-Daten" im Import</t>
        </is>
      </c>
    </row>
    <row r="41" ht="15" customHeight="1" s="21">
      <c r="A41" s="27" t="inlineStr">
        <is>
          <t>4.3</t>
        </is>
      </c>
      <c r="B41" s="28" t="inlineStr">
        <is>
          <t>FZul-Editor Wizard</t>
        </is>
      </c>
      <c r="C41" s="29" t="n">
        <v>4</v>
      </c>
      <c r="D41" s="27" t="inlineStr">
        <is>
          <t>⏳ Offen</t>
        </is>
      </c>
      <c r="E41" s="27" t="n"/>
      <c r="F41" s="27" t="n"/>
      <c r="G41" s="31" t="inlineStr">
        <is>
          <t>MA + Jahr + Quelle wählen</t>
        </is>
      </c>
    </row>
    <row r="42" ht="15" customHeight="1" s="21">
      <c r="A42" s="27" t="inlineStr">
        <is>
          <t>4.4</t>
        </is>
      </c>
      <c r="B42" s="28" t="inlineStr">
        <is>
          <t>FZul-Editor Kalender-Raster</t>
        </is>
      </c>
      <c r="C42" s="29" t="n">
        <v>6</v>
      </c>
      <c r="D42" s="27" t="inlineStr">
        <is>
          <t>⏳ Offen</t>
        </is>
      </c>
      <c r="E42" s="27" t="n"/>
      <c r="F42" s="27" t="n"/>
      <c r="G42" s="31" t="inlineStr">
        <is>
          <t>Bearbeitbares 12-Monats-Grid</t>
        </is>
      </c>
    </row>
    <row r="43" ht="15" customHeight="1" s="21">
      <c r="A43" s="27" t="inlineStr">
        <is>
          <t>4.5</t>
        </is>
      </c>
      <c r="B43" s="28" t="inlineStr">
        <is>
          <t>FZul-Editor Tages-Editor</t>
        </is>
      </c>
      <c r="C43" s="29" t="n">
        <v>3</v>
      </c>
      <c r="D43" s="27" t="inlineStr">
        <is>
          <t>⏳ Offen</t>
        </is>
      </c>
      <c r="E43" s="27" t="n"/>
      <c r="F43" s="27" t="n"/>
      <c r="G43" s="31" t="inlineStr">
        <is>
          <t>Popup für Einzeltag</t>
        </is>
      </c>
    </row>
    <row r="44" ht="15" customHeight="1" s="21">
      <c r="A44" s="27" t="inlineStr">
        <is>
          <t>4.6</t>
        </is>
      </c>
      <c r="B44" s="28" t="inlineStr">
        <is>
          <t>FZul-Editor Auto-Fill</t>
        </is>
      </c>
      <c r="C44" s="29" t="n">
        <v>2</v>
      </c>
      <c r="D44" s="27" t="inlineStr">
        <is>
          <t>⏳ Offen</t>
        </is>
      </c>
      <c r="E44" s="27" t="n"/>
      <c r="F44" s="27" t="n"/>
      <c r="G44" s="31" t="inlineStr">
        <is>
          <t>Automatische Verteilung</t>
        </is>
      </c>
    </row>
    <row r="45" ht="15" customHeight="1" s="21">
      <c r="A45" s="27" t="inlineStr">
        <is>
          <t>4.7</t>
        </is>
      </c>
      <c r="B45" s="28" t="inlineStr">
        <is>
          <t>PDF-Generierung BMF-konform</t>
        </is>
      </c>
      <c r="C45" s="29" t="n">
        <v>5</v>
      </c>
      <c r="D45" s="27" t="inlineStr">
        <is>
          <t>⏳ Offen</t>
        </is>
      </c>
      <c r="E45" s="27" t="n"/>
      <c r="F45" s="27" t="n"/>
      <c r="G45" s="31" t="inlineStr">
        <is>
          <t>Jahres-Stundennachweis</t>
        </is>
      </c>
    </row>
    <row r="46" ht="15" customHeight="1" s="21">
      <c r="A46" s="27" t="inlineStr">
        <is>
          <t>4.8</t>
        </is>
      </c>
      <c r="B46" s="28" t="inlineStr">
        <is>
          <t>PDF-Archiv &amp; Freigabe</t>
        </is>
      </c>
      <c r="C46" s="29" t="n">
        <v>4</v>
      </c>
      <c r="D46" s="27" t="inlineStr">
        <is>
          <t>⏳ Offen</t>
        </is>
      </c>
      <c r="E46" s="27" t="n"/>
      <c r="F46" s="27" t="n"/>
      <c r="G46" s="31" t="inlineStr">
        <is>
          <t>Status-Workflow, ZIP-Download</t>
        </is>
      </c>
    </row>
    <row r="47" ht="15" customHeight="1" s="21">
      <c r="A47" s="24" t="inlineStr">
        <is>
          <t>5</t>
        </is>
      </c>
      <c r="B47" s="25" t="inlineStr">
        <is>
          <t>PHASE 5: PRODUKTION</t>
        </is>
      </c>
      <c r="C47" s="26" t="n"/>
      <c r="D47" s="24" t="n"/>
      <c r="E47" s="24" t="n"/>
      <c r="F47" s="24" t="n"/>
      <c r="G47" s="25" t="n"/>
    </row>
    <row r="48" ht="15" customHeight="1" s="21">
      <c r="A48" s="27" t="inlineStr">
        <is>
          <t>5.1</t>
        </is>
      </c>
      <c r="B48" s="28" t="inlineStr">
        <is>
          <t>RLS-Policies aktivieren</t>
        </is>
      </c>
      <c r="C48" s="29" t="n">
        <v>6</v>
      </c>
      <c r="D48" s="27" t="inlineStr">
        <is>
          <t>⏳ Offen</t>
        </is>
      </c>
      <c r="E48" s="27" t="n"/>
      <c r="F48" s="27" t="n"/>
      <c r="G48" s="31" t="inlineStr">
        <is>
          <t>Row Level Security</t>
        </is>
      </c>
    </row>
    <row r="49" ht="15" customHeight="1" s="21">
      <c r="A49" s="27" t="inlineStr">
        <is>
          <t>5.2</t>
        </is>
      </c>
      <c r="B49" s="28" t="inlineStr">
        <is>
          <t>DSGVO-Autorisierung</t>
        </is>
      </c>
      <c r="C49" s="29" t="n">
        <v>8</v>
      </c>
      <c r="D49" s="27" t="inlineStr">
        <is>
          <t>⏳ Offen</t>
        </is>
      </c>
      <c r="E49" s="27" t="n"/>
      <c r="F49" s="27" t="n"/>
      <c r="G49" s="31" t="inlineStr">
        <is>
          <t>Berater-Zugriff durch GF</t>
        </is>
      </c>
    </row>
    <row r="50" ht="15" customHeight="1" s="21">
      <c r="A50" s="27" t="inlineStr">
        <is>
          <t>5.3</t>
        </is>
      </c>
      <c r="B50" s="28" t="inlineStr">
        <is>
          <t>Multi-Mandanten-Fähigkeit</t>
        </is>
      </c>
      <c r="C50" s="29" t="n">
        <v>4</v>
      </c>
      <c r="D50" s="27" t="inlineStr">
        <is>
          <t>⏳ Offen</t>
        </is>
      </c>
      <c r="E50" s="27" t="n"/>
      <c r="F50" s="27" t="n"/>
      <c r="G50" s="31" t="inlineStr">
        <is>
          <t>Weitere Beraterfirmen</t>
        </is>
      </c>
    </row>
    <row r="51" ht="15" customHeight="1" s="21">
      <c r="A51" s="27" t="inlineStr">
        <is>
          <t>5.4</t>
        </is>
      </c>
      <c r="B51" s="28" t="inlineStr">
        <is>
          <t>Performance-Optimierung</t>
        </is>
      </c>
      <c r="C51" s="29" t="n">
        <v>4</v>
      </c>
      <c r="D51" s="27" t="inlineStr">
        <is>
          <t>⏳ Offen</t>
        </is>
      </c>
      <c r="E51" s="27" t="n"/>
      <c r="F51" s="27" t="n"/>
      <c r="G51" s="31" t="inlineStr">
        <is>
          <t>Indizes, Caching</t>
        </is>
      </c>
    </row>
    <row r="52" ht="15" customHeight="1" s="21">
      <c r="A52" s="27" t="inlineStr">
        <is>
          <t>5.5</t>
        </is>
      </c>
      <c r="B52" s="28" t="inlineStr">
        <is>
          <t>Dokumentation &amp; Schulung</t>
        </is>
      </c>
      <c r="C52" s="29" t="n">
        <v>4</v>
      </c>
      <c r="D52" s="27" t="inlineStr">
        <is>
          <t>⏳ Offen</t>
        </is>
      </c>
      <c r="E52" s="27" t="n"/>
      <c r="F52" s="27" t="n"/>
      <c r="G52" s="31" t="inlineStr">
        <is>
          <t>Benutzerhandbuch</t>
        </is>
      </c>
    </row>
    <row r="53"/>
    <row r="54" ht="15" customHeight="1" s="21">
      <c r="A54" s="32" t="inlineStr">
        <is>
          <t>PM</t>
        </is>
      </c>
      <c r="B54" s="32" t="inlineStr">
        <is>
          <t>PROJEKTMANAGEMENT - META-ARBEIT</t>
        </is>
      </c>
    </row>
    <row r="55" ht="15" customHeight="1" s="21">
      <c r="A55" t="inlineStr">
        <is>
          <t>PM.1</t>
        </is>
      </c>
      <c r="B55" t="inlineStr">
        <is>
          <t>Konzeption Projekttracking &amp; Aufwandsanalyse</t>
        </is>
      </c>
      <c r="C55" t="n">
        <v>1</v>
      </c>
      <c r="D55" t="inlineStr">
        <is>
          <t>✅ Fertig</t>
        </is>
      </c>
      <c r="E55" t="inlineStr">
        <is>
          <t>v1.0</t>
        </is>
      </c>
      <c r="F55" t="inlineStr">
        <is>
          <t>18.01.2026</t>
        </is>
      </c>
      <c r="G55" t="inlineStr">
        <is>
          <t>Phasenstruktur, Plan/Ist-Vergleich, KI vs klassisch</t>
        </is>
      </c>
    </row>
    <row r="56" ht="15" customHeight="1" s="21">
      <c r="A56" t="inlineStr">
        <is>
          <t>PM.2</t>
        </is>
      </c>
      <c r="B56" t="inlineStr">
        <is>
          <t>Dokumentation (Pflichtenheft + Excel-Anlage)</t>
        </is>
      </c>
      <c r="C56" t="n">
        <v>0.1</v>
      </c>
      <c r="D56" t="inlineStr">
        <is>
          <t>✅ Fertig</t>
        </is>
      </c>
      <c r="E56" t="inlineStr">
        <is>
          <t>v1.1</t>
        </is>
      </c>
      <c r="F56" t="inlineStr">
        <is>
          <t>18.01.2026</t>
        </is>
      </c>
      <c r="G56" t="inlineStr">
        <is>
          <t>Pflichtenheft v4.10, Projektplan v1.2</t>
        </is>
      </c>
    </row>
    <row r="57" ht="15" customHeight="1" s="21">
      <c r="A57" t="inlineStr">
        <is>
          <t>PM.3</t>
        </is>
      </c>
      <c r="B57" t="inlineStr">
        <is>
          <t>Eigenverbrauchsberechnung für FZul</t>
        </is>
      </c>
      <c r="C57" t="n">
        <v>2</v>
      </c>
      <c r="D57" t="inlineStr">
        <is>
          <t>⏳ Offen</t>
        </is>
      </c>
      <c r="E57" t="inlineStr"/>
      <c r="F57" t="inlineStr"/>
      <c r="G57" t="inlineStr">
        <is>
          <t>Stunden für eigenes Förderprojekt berechnen</t>
        </is>
      </c>
    </row>
    <row r="58" ht="15" customHeight="1" s="21"/>
    <row r="59" ht="15" customHeight="1" s="21"/>
    <row r="60" ht="15" customHeight="1" s="21">
      <c r="A60" s="33" t="inlineStr">
        <is>
          <t>ZUSAMMENFASSUNG</t>
        </is>
      </c>
    </row>
    <row r="61">
      <c r="B61" s="33" t="inlineStr">
        <is>
          <t>Gesamtaufwand (h):</t>
        </is>
      </c>
      <c r="C61" s="34">
        <f>SUM(C4:C52)</f>
        <v/>
      </c>
    </row>
    <row r="62" ht="15" customHeight="1" s="21">
      <c r="B62" s="20" t="inlineStr">
        <is>
          <t>Fertiggestellte Aufgaben:</t>
        </is>
      </c>
      <c r="C62" s="20">
        <f>COUNTIF(D4:D52,"*✅*")</f>
        <v/>
      </c>
    </row>
    <row r="63" ht="15" customHeight="1" s="21">
      <c r="B63" s="20" t="inlineStr">
        <is>
          <t>Offene Aufgaben:</t>
        </is>
      </c>
      <c r="C63" s="20">
        <f>COUNTIF(D4:D52,"*⏳*")</f>
        <v/>
      </c>
    </row>
    <row r="64" ht="15" customHeight="1" s="21">
      <c r="B64" s="20" t="inlineStr">
        <is>
          <t>Aufwand erledigt (h):</t>
        </is>
      </c>
      <c r="C64" s="35">
        <f>SUMIF(D4:D52,"*✅*",C4:C52)</f>
        <v/>
      </c>
    </row>
    <row r="65" ht="15" customHeight="1" s="21">
      <c r="B65" s="33" t="inlineStr">
        <is>
          <t>Restaufwand offen (h):</t>
        </is>
      </c>
      <c r="C65" s="36">
        <f>SUMIF(D4:D52,"*⏳*",C4:C52)</f>
        <v/>
      </c>
    </row>
    <row r="66">
      <c r="B66" s="20" t="inlineStr">
        <is>
          <t>Fortschritt (%):</t>
        </is>
      </c>
      <c r="C66" s="37">
        <f>SUMIF(D4:D52,"*✅*",C4:C52)/SUM(C4:C52)</f>
        <v/>
      </c>
    </row>
    <row r="67" ht="15" customHeight="1" s="21"/>
    <row r="68" ht="15" customHeight="1" s="21">
      <c r="A68" s="33" t="inlineStr">
        <is>
          <t>LEGENDE</t>
        </is>
      </c>
    </row>
    <row r="69">
      <c r="B69" s="38" t="inlineStr">
        <is>
          <t>✅ Fertig</t>
        </is>
      </c>
    </row>
    <row r="70">
      <c r="B70" s="39" t="inlineStr">
        <is>
          <t>🔄 In Arbeit</t>
        </is>
      </c>
    </row>
    <row r="71">
      <c r="B71" s="20" t="inlineStr">
        <is>
          <t>⏳ Offen</t>
        </is>
      </c>
    </row>
    <row r="72"/>
    <row r="73">
      <c r="A73" s="33" t="inlineStr">
        <is>
          <t>Version:</t>
        </is>
      </c>
      <c r="B73" s="20" t="inlineStr">
        <is>
          <t>PROJEKTPLAN-v1.2</t>
        </is>
      </c>
    </row>
    <row r="74">
      <c r="A74" s="33" t="inlineStr">
        <is>
          <t>Erstellt:</t>
        </is>
      </c>
      <c r="B74" s="20" t="inlineStr">
        <is>
          <t>18. Januar 2026</t>
        </is>
      </c>
    </row>
  </sheetData>
  <mergeCells count="2">
    <mergeCell ref="A2:G2"/>
    <mergeCell ref="A54:B54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2026-01-18T17:59:02Z</dcterms:created>
  <dcterms:modified xmlns:dcterms="http://purl.org/dc/terms/" xmlns:xsi="http://www.w3.org/2001/XMLSchema-instance" xsi:type="dcterms:W3CDTF">2026-01-18T19:16:43Z</dcterms:modified>
  <cp:revision>0</cp:revision>
</cp:coreProperties>
</file>