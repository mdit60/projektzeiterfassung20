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ZE-V7-Projektplan" sheetId="1" state="visible" r:id="rId1"/>
  </sheets>
  <definedNames>
    <definedName name="_xlnm.Print_Titles" localSheetId="0">'PZE-V7-Projektplan'!$1:$1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4"/>
    </font>
    <font>
      <name val="Cambria"/>
      <charset val="1"/>
      <family val="0"/>
      <i val="1"/>
      <color rgb="FF666666"/>
      <sz val="9"/>
    </font>
    <font>
      <name val="Cambria"/>
      <charset val="1"/>
      <family val="0"/>
      <b val="1"/>
      <sz val="11"/>
    </font>
    <font>
      <name val="Cambria"/>
      <charset val="1"/>
      <family val="0"/>
      <sz val="10"/>
    </font>
    <font>
      <name val="Cambria"/>
      <charset val="1"/>
      <family val="0"/>
      <b val="1"/>
      <sz val="10"/>
    </font>
    <font>
      <name val="Cambria"/>
      <charset val="1"/>
      <family val="0"/>
      <i val="1"/>
      <sz val="10"/>
    </font>
    <font>
      <name val="Cambria"/>
      <charset val="1"/>
      <family val="0"/>
      <b val="1"/>
      <color rgb="FF006600"/>
      <sz val="11"/>
    </font>
  </fonts>
  <fills count="7">
    <fill>
      <patternFill/>
    </fill>
    <fill>
      <patternFill patternType="gray125"/>
    </fill>
    <fill>
      <patternFill patternType="solid">
        <fgColor rgb="FF002451"/>
        <bgColor rgb="FF003300"/>
      </patternFill>
    </fill>
    <fill>
      <patternFill patternType="solid">
        <fgColor rgb="FFD9D9D9"/>
        <bgColor rgb="FFDEEAF6"/>
      </patternFill>
    </fill>
    <fill>
      <patternFill patternType="solid">
        <fgColor rgb="FFDEEAF6"/>
        <bgColor rgb="FFD9D9D9"/>
      </patternFill>
    </fill>
    <fill>
      <patternFill patternType="solid">
        <fgColor rgb="FFC6EFCE"/>
        <bgColor rgb="FFDEEAF6"/>
      </patternFill>
    </fill>
    <fill>
      <patternFill patternType="solid">
        <fgColor rgb="FFFFEB9C"/>
        <bgColor rgb="FF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general" vertical="bottom"/>
    </xf>
    <xf numFmtId="164" fontId="0" fillId="4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164" fontId="9" fillId="5" borderId="0" applyAlignment="1" pivotButton="0" quotePrefix="0" xfId="0">
      <alignment horizontal="general" vertical="bottom"/>
    </xf>
    <xf numFmtId="9" fontId="11" fillId="0" borderId="0" applyAlignment="1" pivotButton="0" quotePrefix="0" xfId="0">
      <alignment horizontal="general" vertical="bottom"/>
    </xf>
    <xf numFmtId="164" fontId="0" fillId="6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general" vertical="bottom"/>
    </xf>
    <xf numFmtId="164" fontId="0" fillId="4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164" fontId="9" fillId="5" borderId="0" applyAlignment="1" pivotButton="0" quotePrefix="0" xfId="0">
      <alignment horizontal="general" vertical="bottom"/>
    </xf>
    <xf numFmtId="9" fontId="11" fillId="0" borderId="0" applyAlignment="1" pivotButton="0" quotePrefix="0" xfId="0">
      <alignment horizontal="general" vertical="bottom"/>
    </xf>
    <xf numFmtId="164" fontId="0" fillId="6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245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9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31" min="1" max="1"/>
    <col width="44" customWidth="1" style="31" min="2" max="2"/>
    <col width="10" customWidth="1" style="31" min="3" max="4"/>
    <col width="11" customWidth="1" style="31" min="5" max="5"/>
    <col width="12" customWidth="1" style="31" min="6" max="7"/>
    <col width="36" customWidth="1" style="31" min="8" max="8"/>
  </cols>
  <sheetData>
    <row r="1" ht="19.5" customHeight="1" s="32">
      <c r="A1" s="33" t="inlineStr">
        <is>
          <t>Nr.</t>
        </is>
      </c>
      <c r="B1" s="33" t="inlineStr">
        <is>
          <t>Arbeitspaket / Aufgabe</t>
        </is>
      </c>
      <c r="C1" s="33" t="inlineStr">
        <is>
          <t>Plan (h)</t>
        </is>
      </c>
      <c r="D1" s="33" t="inlineStr">
        <is>
          <t>Ist (h)</t>
        </is>
      </c>
      <c r="E1" s="33" t="inlineStr">
        <is>
          <t>Status</t>
        </is>
      </c>
      <c r="F1" s="33" t="inlineStr">
        <is>
          <t>Version</t>
        </is>
      </c>
      <c r="G1" s="33" t="inlineStr">
        <is>
          <t>Datum</t>
        </is>
      </c>
      <c r="H1" s="33" t="inlineStr">
        <is>
          <t>Bemerkungen</t>
        </is>
      </c>
    </row>
    <row r="2" ht="17.25" customHeight="1" s="32">
      <c r="A2" s="34" t="inlineStr">
        <is>
          <t>PZE v7 - PROJEKTPLAN (Stand: 18.01.2026)</t>
        </is>
      </c>
    </row>
    <row r="3" ht="15" customHeight="1" s="32">
      <c r="A3" s="35" t="inlineStr">
        <is>
          <t>Plan (h) = Aufwand bei Vergabe an externen Entwickler | Ist (h) = Tatsächlicher Aufwand mit Claude AI</t>
        </is>
      </c>
    </row>
    <row r="5" ht="15" customHeight="1" s="32">
      <c r="A5" s="36" t="inlineStr">
        <is>
          <t>0</t>
        </is>
      </c>
      <c r="B5" s="37" t="inlineStr">
        <is>
          <t>PHASE 0: V6-VORARBEIT (Okt-Dez 2025)</t>
        </is>
      </c>
      <c r="C5" s="38" t="n"/>
      <c r="D5" s="38" t="n"/>
      <c r="E5" s="36" t="n"/>
      <c r="F5" s="36" t="n"/>
      <c r="G5" s="36" t="n"/>
      <c r="H5" s="37" t="inlineStr">
        <is>
          <t>Grundlagen für V7</t>
        </is>
      </c>
    </row>
    <row r="6" ht="15" customHeight="1" s="32">
      <c r="A6" s="39" t="inlineStr">
        <is>
          <t>0.1</t>
        </is>
      </c>
      <c r="B6" s="40" t="inlineStr">
        <is>
          <t>Datenmodell-Konzept (Projekte, MA, APs)</t>
        </is>
      </c>
      <c r="C6" s="41" t="n">
        <v>8</v>
      </c>
      <c r="D6" s="41" t="n">
        <v>3</v>
      </c>
      <c r="E6" s="42" t="inlineStr">
        <is>
          <t>✅ Fertig</t>
        </is>
      </c>
      <c r="F6" s="39" t="inlineStr">
        <is>
          <t>V6.x</t>
        </is>
      </c>
      <c r="G6" s="39" t="inlineStr">
        <is>
          <t>Okt 2025</t>
        </is>
      </c>
      <c r="H6" s="43" t="inlineStr">
        <is>
          <t>→ übernommen in V7-Schema</t>
        </is>
      </c>
    </row>
    <row r="7" ht="15" customHeight="1" s="32">
      <c r="A7" s="39" t="inlineStr">
        <is>
          <t>0.2</t>
        </is>
      </c>
      <c r="B7" s="40" t="inlineStr">
        <is>
          <t>FZul-Analyse-Logik entwickeln</t>
        </is>
      </c>
      <c r="C7" s="41" t="n">
        <v>16</v>
      </c>
      <c r="D7" s="41" t="n">
        <v>6</v>
      </c>
      <c r="E7" s="42" t="inlineStr">
        <is>
          <t>✅ Fertig</t>
        </is>
      </c>
      <c r="F7" s="39" t="inlineStr">
        <is>
          <t>V6.x</t>
        </is>
      </c>
      <c r="G7" s="39" t="inlineStr">
        <is>
          <t>Nov 2025</t>
        </is>
      </c>
      <c r="H7" s="43" t="inlineStr">
        <is>
          <t>Kapazitätsberechnung, Verteilung</t>
        </is>
      </c>
    </row>
    <row r="8" ht="15" customHeight="1" s="32">
      <c r="A8" s="39" t="inlineStr">
        <is>
          <t>0.3</t>
        </is>
      </c>
      <c r="B8" s="40" t="inlineStr">
        <is>
          <t>Excel-Import (ZIM/BMBF)</t>
        </is>
      </c>
      <c r="C8" s="41" t="n">
        <v>12</v>
      </c>
      <c r="D8" s="41" t="n">
        <v>4</v>
      </c>
      <c r="E8" s="42" t="inlineStr">
        <is>
          <t>✅ Fertig</t>
        </is>
      </c>
      <c r="F8" s="39" t="inlineStr">
        <is>
          <t>V6.x</t>
        </is>
      </c>
      <c r="G8" s="39" t="inlineStr">
        <is>
          <t>Nov 2025</t>
        </is>
      </c>
      <c r="H8" s="43" t="inlineStr">
        <is>
          <t>→ Migration in Phase 4</t>
        </is>
      </c>
    </row>
    <row r="9" ht="15" customHeight="1" s="32">
      <c r="A9" s="39" t="inlineStr">
        <is>
          <t>0.4</t>
        </is>
      </c>
      <c r="B9" s="40" t="inlineStr">
        <is>
          <t>FZul-Editor UI-Konzept</t>
        </is>
      </c>
      <c r="C9" s="41" t="n">
        <v>10</v>
      </c>
      <c r="D9" s="41" t="n">
        <v>4</v>
      </c>
      <c r="E9" s="42" t="inlineStr">
        <is>
          <t>✅ Fertig</t>
        </is>
      </c>
      <c r="F9" s="39" t="inlineStr">
        <is>
          <t>V6.x</t>
        </is>
      </c>
      <c r="G9" s="39" t="inlineStr">
        <is>
          <t>Nov 2025</t>
        </is>
      </c>
      <c r="H9" s="43" t="inlineStr">
        <is>
          <t>Kalender-Raster, Tages-Editor</t>
        </is>
      </c>
    </row>
    <row r="10" ht="15" customHeight="1" s="32">
      <c r="A10" s="39" t="inlineStr">
        <is>
          <t>0.5</t>
        </is>
      </c>
      <c r="B10" s="40" t="inlineStr">
        <is>
          <t>PDF-Export FZul-Stundennachweis</t>
        </is>
      </c>
      <c r="C10" s="41" t="n">
        <v>8</v>
      </c>
      <c r="D10" s="41" t="n">
        <v>3</v>
      </c>
      <c r="E10" s="42" t="inlineStr">
        <is>
          <t>✅ Fertig</t>
        </is>
      </c>
      <c r="F10" s="39" t="inlineStr">
        <is>
          <t>V6.x</t>
        </is>
      </c>
      <c r="G10" s="39" t="inlineStr">
        <is>
          <t>Dez 2025</t>
        </is>
      </c>
      <c r="H10" s="43" t="inlineStr">
        <is>
          <t>BMF-konform</t>
        </is>
      </c>
    </row>
    <row r="11" ht="15" customHeight="1" s="32">
      <c r="A11" s="39" t="inlineStr">
        <is>
          <t>0.6</t>
        </is>
      </c>
      <c r="B11" s="40" t="inlineStr">
        <is>
          <t>Supabase &amp; Vercel Setup</t>
        </is>
      </c>
      <c r="C11" s="41" t="n">
        <v>4</v>
      </c>
      <c r="D11" s="41" t="n">
        <v>2</v>
      </c>
      <c r="E11" s="42" t="inlineStr">
        <is>
          <t>✅ Fertig</t>
        </is>
      </c>
      <c r="F11" s="39" t="inlineStr">
        <is>
          <t>V6.x</t>
        </is>
      </c>
      <c r="G11" s="39" t="inlineStr">
        <is>
          <t>Okt 2025</t>
        </is>
      </c>
      <c r="H11" s="43" t="inlineStr">
        <is>
          <t>Infrastruktur</t>
        </is>
      </c>
    </row>
    <row r="12" ht="15" customHeight="1" s="32">
      <c r="A12" s="36" t="inlineStr">
        <is>
          <t>1</t>
        </is>
      </c>
      <c r="B12" s="37" t="inlineStr">
        <is>
          <t>PHASE 1: BASIS-INFRASTRUKTUR (Dez 2025)</t>
        </is>
      </c>
      <c r="C12" s="38" t="n"/>
      <c r="D12" s="38" t="n"/>
      <c r="E12" s="36" t="n"/>
      <c r="F12" s="36" t="n"/>
      <c r="G12" s="36" t="n"/>
      <c r="H12" s="37" t="n"/>
    </row>
    <row r="13" ht="15" customHeight="1" s="32">
      <c r="A13" s="44" t="inlineStr">
        <is>
          <t>1.1</t>
        </is>
      </c>
      <c r="B13" s="45" t="inlineStr">
        <is>
          <t>V7-Datenbank-Schema erstellen</t>
        </is>
      </c>
      <c r="C13" s="46" t="n">
        <v>4</v>
      </c>
      <c r="D13" s="46" t="n">
        <v>0.5</v>
      </c>
      <c r="E13" s="42" t="inlineStr">
        <is>
          <t>✅ Fertig</t>
        </is>
      </c>
      <c r="F13" s="44" t="inlineStr">
        <is>
          <t>v7.0.0</t>
        </is>
      </c>
      <c r="G13" s="44" t="inlineStr">
        <is>
          <t>30.12.2025</t>
        </is>
      </c>
      <c r="H13" s="47" t="inlineStr">
        <is>
          <t>v7_* Tabellen</t>
        </is>
      </c>
    </row>
    <row r="14" ht="15" customHeight="1" s="32">
      <c r="A14" s="44" t="inlineStr">
        <is>
          <t>1.2</t>
        </is>
      </c>
      <c r="B14" s="45" t="inlineStr">
        <is>
          <t>Login &amp; Authentifizierung</t>
        </is>
      </c>
      <c r="C14" s="46" t="n">
        <v>2</v>
      </c>
      <c r="D14" s="46" t="n">
        <v>0.5</v>
      </c>
      <c r="E14" s="42" t="inlineStr">
        <is>
          <t>✅ Fertig</t>
        </is>
      </c>
      <c r="F14" s="44" t="inlineStr">
        <is>
          <t>v7.0.0</t>
        </is>
      </c>
      <c r="G14" s="44" t="inlineStr">
        <is>
          <t>30.12.2025</t>
        </is>
      </c>
      <c r="H14" s="47" t="inlineStr">
        <is>
          <t>Supabase Auth</t>
        </is>
      </c>
    </row>
    <row r="15" ht="15" customHeight="1" s="32">
      <c r="A15" s="44" t="inlineStr">
        <is>
          <t>1.3</t>
        </is>
      </c>
      <c r="B15" s="45" t="inlineStr">
        <is>
          <t>Rollenbasierter Redirect</t>
        </is>
      </c>
      <c r="C15" s="46" t="n">
        <v>3</v>
      </c>
      <c r="D15" s="46" t="n">
        <v>0.5</v>
      </c>
      <c r="E15" s="42" t="inlineStr">
        <is>
          <t>✅ Fertig</t>
        </is>
      </c>
      <c r="F15" s="44" t="inlineStr">
        <is>
          <t>v7.1.1</t>
        </is>
      </c>
      <c r="G15" s="44" t="inlineStr">
        <is>
          <t>02.01.2026</t>
        </is>
      </c>
      <c r="H15" s="47" t="inlineStr">
        <is>
          <t>Berater/Firma Portal</t>
        </is>
      </c>
    </row>
    <row r="16" ht="15" customHeight="1" s="32">
      <c r="A16" s="44" t="inlineStr">
        <is>
          <t>1.4</t>
        </is>
      </c>
      <c r="B16" s="45" t="inlineStr">
        <is>
          <t>Berater-Dashboard Grundstruktur</t>
        </is>
      </c>
      <c r="C16" s="46" t="n">
        <v>4</v>
      </c>
      <c r="D16" s="46" t="n">
        <v>1</v>
      </c>
      <c r="E16" s="42" t="inlineStr">
        <is>
          <t>✅ Fertig</t>
        </is>
      </c>
      <c r="F16" s="44" t="inlineStr">
        <is>
          <t>v7.1.1</t>
        </is>
      </c>
      <c r="G16" s="44" t="inlineStr">
        <is>
          <t>02.01.2026</t>
        </is>
      </c>
      <c r="H16" s="47" t="inlineStr">
        <is>
          <t>2 Kacheln</t>
        </is>
      </c>
    </row>
    <row r="17" ht="15" customHeight="1" s="32">
      <c r="A17" s="44" t="inlineStr">
        <is>
          <t>1.5</t>
        </is>
      </c>
      <c r="B17" s="45" t="inlineStr">
        <is>
          <t>Navigation &amp; Header-Design</t>
        </is>
      </c>
      <c r="C17" s="46" t="n">
        <v>3</v>
      </c>
      <c r="D17" s="46" t="n">
        <v>1</v>
      </c>
      <c r="E17" s="42" t="inlineStr">
        <is>
          <t>✅ Fertig</t>
        </is>
      </c>
      <c r="F17" s="44" t="inlineStr">
        <is>
          <t>v7.3.1</t>
        </is>
      </c>
      <c r="G17" s="44" t="inlineStr">
        <is>
          <t>06.01.2026</t>
        </is>
      </c>
      <c r="H17" s="47" t="inlineStr">
        <is>
          <t>Blau/Grün Schema</t>
        </is>
      </c>
    </row>
    <row r="18" ht="15" customHeight="1" s="32">
      <c r="A18" s="36" t="inlineStr">
        <is>
          <t>2</t>
        </is>
      </c>
      <c r="B18" s="37" t="inlineStr">
        <is>
          <t>PHASE 2: BERATER-PORTAL (Jan 2026)</t>
        </is>
      </c>
      <c r="C18" s="38" t="n"/>
      <c r="D18" s="38" t="n"/>
      <c r="E18" s="36" t="n"/>
      <c r="F18" s="36" t="n"/>
      <c r="G18" s="36" t="n"/>
      <c r="H18" s="37" t="n"/>
    </row>
    <row r="19" ht="15" customHeight="1" s="32">
      <c r="A19" s="44" t="inlineStr">
        <is>
          <t>2.1</t>
        </is>
      </c>
      <c r="B19" s="45" t="inlineStr">
        <is>
          <t>Firmenübersicht (Förderberatung)</t>
        </is>
      </c>
      <c r="C19" s="46" t="n">
        <v>4</v>
      </c>
      <c r="D19" s="46" t="n">
        <v>1</v>
      </c>
      <c r="E19" s="42" t="inlineStr">
        <is>
          <t>✅ Fertig</t>
        </is>
      </c>
      <c r="F19" s="44" t="inlineStr">
        <is>
          <t>v7.1.2</t>
        </is>
      </c>
      <c r="G19" s="44" t="inlineStr">
        <is>
          <t>03.01.2026</t>
        </is>
      </c>
      <c r="H19" s="47" t="inlineStr">
        <is>
          <t>Kundenfirmen-Liste</t>
        </is>
      </c>
    </row>
    <row r="20" ht="15" customHeight="1" s="32">
      <c r="A20" s="44" t="inlineStr">
        <is>
          <t>2.2</t>
        </is>
      </c>
      <c r="B20" s="45" t="inlineStr">
        <is>
          <t>Firma anlegen/bearbeiten</t>
        </is>
      </c>
      <c r="C20" s="46" t="n">
        <v>6</v>
      </c>
      <c r="D20" s="46" t="n">
        <v>1.5</v>
      </c>
      <c r="E20" s="42" t="inlineStr">
        <is>
          <t>✅ Fertig</t>
        </is>
      </c>
      <c r="F20" s="44" t="inlineStr">
        <is>
          <t>v7.1.3</t>
        </is>
      </c>
      <c r="G20" s="44" t="inlineStr">
        <is>
          <t>03.01.2026</t>
        </is>
      </c>
      <c r="H20" s="47" t="inlineStr">
        <is>
          <t>Modal + Validierung</t>
        </is>
      </c>
    </row>
    <row r="21" ht="15" customHeight="1" s="32">
      <c r="A21" s="44" t="inlineStr">
        <is>
          <t>2.3</t>
        </is>
      </c>
      <c r="B21" s="45" t="inlineStr">
        <is>
          <t>Firmen-Detailseite</t>
        </is>
      </c>
      <c r="C21" s="46" t="n">
        <v>8</v>
      </c>
      <c r="D21" s="46" t="n">
        <v>2</v>
      </c>
      <c r="E21" s="42" t="inlineStr">
        <is>
          <t>✅ Fertig</t>
        </is>
      </c>
      <c r="F21" s="44" t="inlineStr">
        <is>
          <t>v7.1.3</t>
        </is>
      </c>
      <c r="G21" s="44" t="inlineStr">
        <is>
          <t>03.01.2026</t>
        </is>
      </c>
      <c r="H21" s="47" t="inlineStr">
        <is>
          <t>Projekte, MA, APs</t>
        </is>
      </c>
    </row>
    <row r="22" ht="15" customHeight="1" s="32">
      <c r="A22" s="44" t="inlineStr">
        <is>
          <t>2.4</t>
        </is>
      </c>
      <c r="B22" s="45" t="inlineStr">
        <is>
          <t>Projekt anlegen/bearbeiten</t>
        </is>
      </c>
      <c r="C22" s="46" t="n">
        <v>4</v>
      </c>
      <c r="D22" s="46" t="n">
        <v>1</v>
      </c>
      <c r="E22" s="42" t="inlineStr">
        <is>
          <t>✅ Fertig</t>
        </is>
      </c>
      <c r="F22" s="44" t="inlineStr">
        <is>
          <t>v7.1.3</t>
        </is>
      </c>
      <c r="G22" s="44" t="inlineStr">
        <is>
          <t>03.01.2026</t>
        </is>
      </c>
      <c r="H22" s="47" t="n"/>
    </row>
    <row r="23" ht="15" customHeight="1" s="32">
      <c r="A23" s="44" t="inlineStr">
        <is>
          <t>2.5</t>
        </is>
      </c>
      <c r="B23" s="45" t="inlineStr">
        <is>
          <t>Mitarbeiter anlegen/bearbeiten</t>
        </is>
      </c>
      <c r="C23" s="46" t="n">
        <v>4</v>
      </c>
      <c r="D23" s="46" t="n">
        <v>1</v>
      </c>
      <c r="E23" s="42" t="inlineStr">
        <is>
          <t>✅ Fertig</t>
        </is>
      </c>
      <c r="F23" s="44" t="inlineStr">
        <is>
          <t>v7.1.3</t>
        </is>
      </c>
      <c r="G23" s="44" t="inlineStr">
        <is>
          <t>03.01.2026</t>
        </is>
      </c>
      <c r="H23" s="47" t="n"/>
    </row>
    <row r="24" ht="15" customHeight="1" s="32">
      <c r="A24" s="44" t="inlineStr">
        <is>
          <t>2.6</t>
        </is>
      </c>
      <c r="B24" s="45" t="inlineStr">
        <is>
          <t>Arbeitspakete CRUD</t>
        </is>
      </c>
      <c r="C24" s="46" t="n">
        <v>6</v>
      </c>
      <c r="D24" s="46" t="n">
        <v>1.5</v>
      </c>
      <c r="E24" s="42" t="inlineStr">
        <is>
          <t>✅ Fertig</t>
        </is>
      </c>
      <c r="F24" s="44" t="inlineStr">
        <is>
          <t>v7.1.4</t>
        </is>
      </c>
      <c r="G24" s="44" t="inlineStr">
        <is>
          <t>03.01.2026</t>
        </is>
      </c>
      <c r="H24" s="47" t="inlineStr">
        <is>
          <t>Mit Personenmonaten</t>
        </is>
      </c>
    </row>
    <row r="25" ht="15" customHeight="1" s="32">
      <c r="A25" s="44" t="inlineStr">
        <is>
          <t>2.7</t>
        </is>
      </c>
      <c r="B25" s="45" t="inlineStr">
        <is>
          <t>MA → Projekt zuordnen</t>
        </is>
      </c>
      <c r="C25" s="46" t="n">
        <v>3</v>
      </c>
      <c r="D25" s="46" t="n">
        <v>0.5</v>
      </c>
      <c r="E25" s="42" t="inlineStr">
        <is>
          <t>✅ Fertig</t>
        </is>
      </c>
      <c r="F25" s="44" t="inlineStr">
        <is>
          <t>v7.1.5</t>
        </is>
      </c>
      <c r="G25" s="44" t="inlineStr">
        <is>
          <t>03.01.2026</t>
        </is>
      </c>
      <c r="H25" s="47" t="n"/>
    </row>
    <row r="26" ht="15" customHeight="1" s="32">
      <c r="A26" s="44" t="inlineStr">
        <is>
          <t>2.8</t>
        </is>
      </c>
      <c r="B26" s="45" t="inlineStr">
        <is>
          <t>MA → AP zuordnen</t>
        </is>
      </c>
      <c r="C26" s="46" t="n">
        <v>4</v>
      </c>
      <c r="D26" s="46" t="n">
        <v>1</v>
      </c>
      <c r="E26" s="42" t="inlineStr">
        <is>
          <t>✅ Fertig</t>
        </is>
      </c>
      <c r="F26" s="44" t="inlineStr">
        <is>
          <t>v7.1.6</t>
        </is>
      </c>
      <c r="G26" s="44" t="inlineStr">
        <is>
          <t>03.01.2026</t>
        </is>
      </c>
      <c r="H26" s="47" t="inlineStr">
        <is>
          <t>Mit PM-Planung</t>
        </is>
      </c>
    </row>
    <row r="27" ht="15" customHeight="1" s="32">
      <c r="A27" s="44" t="inlineStr">
        <is>
          <t>2.9</t>
        </is>
      </c>
      <c r="B27" s="45" t="inlineStr">
        <is>
          <t>Logo-Upload für Firmen</t>
        </is>
      </c>
      <c r="C27" s="46" t="n">
        <v>3</v>
      </c>
      <c r="D27" s="46" t="n">
        <v>1</v>
      </c>
      <c r="E27" s="42" t="inlineStr">
        <is>
          <t>✅ Fertig</t>
        </is>
      </c>
      <c r="F27" s="44" t="inlineStr">
        <is>
          <t>v7.3.2</t>
        </is>
      </c>
      <c r="G27" s="44" t="inlineStr">
        <is>
          <t>06.01.2026</t>
        </is>
      </c>
      <c r="H27" s="47" t="inlineStr">
        <is>
          <t>Supabase Storage</t>
        </is>
      </c>
    </row>
    <row r="28" ht="15" customHeight="1" s="32">
      <c r="A28" s="44" t="inlineStr">
        <is>
          <t>2.10</t>
        </is>
      </c>
      <c r="B28" s="45" t="inlineStr">
        <is>
          <t>Firmen-Detailseite Header-Farbe</t>
        </is>
      </c>
      <c r="C28" s="46" t="n">
        <v>0.5</v>
      </c>
      <c r="D28" s="46" t="n"/>
      <c r="E28" s="44" t="inlineStr">
        <is>
          <t>⏳ Offen</t>
        </is>
      </c>
      <c r="F28" s="44" t="n"/>
      <c r="G28" s="44" t="n"/>
      <c r="H28" s="47" t="inlineStr">
        <is>
          <t>Grün → Blau</t>
        </is>
      </c>
    </row>
    <row r="29" ht="15" customHeight="1" s="32">
      <c r="A29" s="36" t="inlineStr">
        <is>
          <t>2b</t>
        </is>
      </c>
      <c r="B29" s="37" t="inlineStr">
        <is>
          <t>PHASE 2b: ZIM-PDF-IMPORT (Jan 2026)</t>
        </is>
      </c>
      <c r="C29" s="38" t="n"/>
      <c r="D29" s="38" t="n"/>
      <c r="E29" s="36" t="n"/>
      <c r="F29" s="36" t="n"/>
      <c r="G29" s="36" t="n"/>
      <c r="H29" s="37" t="n"/>
    </row>
    <row r="30" ht="15" customHeight="1" s="32">
      <c r="A30" s="44" t="inlineStr">
        <is>
          <t>2b.1</t>
        </is>
      </c>
      <c r="B30" s="45" t="inlineStr">
        <is>
          <t>Python PDF-Parser entwickeln</t>
        </is>
      </c>
      <c r="C30" s="46" t="n">
        <v>8</v>
      </c>
      <c r="D30" s="46" t="n">
        <v>2</v>
      </c>
      <c r="E30" s="42" t="inlineStr">
        <is>
          <t>✅ Fertig</t>
        </is>
      </c>
      <c r="F30" s="44" t="inlineStr">
        <is>
          <t>v7.2.0</t>
        </is>
      </c>
      <c r="G30" s="44" t="inlineStr">
        <is>
          <t>04.01.2026</t>
        </is>
      </c>
      <c r="H30" s="47" t="inlineStr">
        <is>
          <t>PyMuPDF</t>
        </is>
      </c>
    </row>
    <row r="31" ht="15" customHeight="1" s="32">
      <c r="A31" s="44" t="inlineStr">
        <is>
          <t>2b.2</t>
        </is>
      </c>
      <c r="B31" s="45" t="inlineStr">
        <is>
          <t>Railway Microservice deployen</t>
        </is>
      </c>
      <c r="C31" s="46" t="n">
        <v>2</v>
      </c>
      <c r="D31" s="46" t="n">
        <v>0.5</v>
      </c>
      <c r="E31" s="42" t="inlineStr">
        <is>
          <t>✅ Fertig</t>
        </is>
      </c>
      <c r="F31" s="44" t="inlineStr">
        <is>
          <t>v7.2.1</t>
        </is>
      </c>
      <c r="G31" s="44" t="inlineStr">
        <is>
          <t>04.01.2026</t>
        </is>
      </c>
      <c r="H31" s="47" t="inlineStr">
        <is>
          <t>Railway.app</t>
        </is>
      </c>
    </row>
    <row r="32" ht="15" customHeight="1" s="32">
      <c r="A32" s="44" t="inlineStr">
        <is>
          <t>2b.3</t>
        </is>
      </c>
      <c r="B32" s="45" t="inlineStr">
        <is>
          <t>Import-Seite UI</t>
        </is>
      </c>
      <c r="C32" s="46" t="n">
        <v>6</v>
      </c>
      <c r="D32" s="46" t="n">
        <v>1.5</v>
      </c>
      <c r="E32" s="42" t="inlineStr">
        <is>
          <t>✅ Fertig</t>
        </is>
      </c>
      <c r="F32" s="44" t="inlineStr">
        <is>
          <t>v7.2.3</t>
        </is>
      </c>
      <c r="G32" s="44" t="inlineStr">
        <is>
          <t>05.01.2026</t>
        </is>
      </c>
      <c r="H32" s="47" t="inlineStr">
        <is>
          <t>Vorschau + Import</t>
        </is>
      </c>
    </row>
    <row r="33" ht="15" customHeight="1" s="32">
      <c r="A33" s="44" t="inlineStr">
        <is>
          <t>2b.4</t>
        </is>
      </c>
      <c r="B33" s="45" t="inlineStr">
        <is>
          <t>Automatischer Reimport</t>
        </is>
      </c>
      <c r="C33" s="46" t="n">
        <v>4</v>
      </c>
      <c r="D33" s="46" t="n">
        <v>1</v>
      </c>
      <c r="E33" s="42" t="inlineStr">
        <is>
          <t>✅ Fertig</t>
        </is>
      </c>
      <c r="F33" s="44" t="inlineStr">
        <is>
          <t>v7.2.4</t>
        </is>
      </c>
      <c r="G33" s="44" t="inlineStr">
        <is>
          <t>05.01.2026</t>
        </is>
      </c>
      <c r="H33" s="47" t="inlineStr">
        <is>
          <t>Update bestehend</t>
        </is>
      </c>
    </row>
    <row r="34" ht="15" customHeight="1" s="32">
      <c r="A34" s="44" t="inlineStr">
        <is>
          <t>2b.5</t>
        </is>
      </c>
      <c r="B34" s="45" t="inlineStr">
        <is>
          <t>ZIM-Excel-Import</t>
        </is>
      </c>
      <c r="C34" s="46" t="n">
        <v>4</v>
      </c>
      <c r="D34" s="46" t="n"/>
      <c r="E34" s="44" t="inlineStr">
        <is>
          <t>⏳ Offen</t>
        </is>
      </c>
      <c r="F34" s="44" t="n"/>
      <c r="G34" s="44" t="n"/>
      <c r="H34" s="47" t="inlineStr">
        <is>
          <t>Stundennachweis</t>
        </is>
      </c>
    </row>
    <row r="35" ht="15" customHeight="1" s="32">
      <c r="A35" s="44" t="inlineStr">
        <is>
          <t>2b.6</t>
        </is>
      </c>
      <c r="B35" s="45" t="inlineStr">
        <is>
          <t>BMBF-Excel-Import</t>
        </is>
      </c>
      <c r="C35" s="46" t="n">
        <v>4</v>
      </c>
      <c r="D35" s="46" t="n"/>
      <c r="E35" s="44" t="inlineStr">
        <is>
          <t>⏳ Offen</t>
        </is>
      </c>
      <c r="F35" s="44" t="n"/>
      <c r="G35" s="44" t="n"/>
      <c r="H35" s="47" t="inlineStr">
        <is>
          <t>Anderes Format</t>
        </is>
      </c>
    </row>
    <row r="36" ht="15" customHeight="1" s="32">
      <c r="A36" s="36" t="inlineStr">
        <is>
          <t>3</t>
        </is>
      </c>
      <c r="B36" s="37" t="inlineStr">
        <is>
          <t>PHASE 3: FIRMEN-PORTAL (Jan 2026)</t>
        </is>
      </c>
      <c r="C36" s="38" t="n"/>
      <c r="D36" s="38" t="n"/>
      <c r="E36" s="36" t="n"/>
      <c r="F36" s="36" t="n"/>
      <c r="G36" s="36" t="n"/>
      <c r="H36" s="37" t="n"/>
    </row>
    <row r="37" ht="15" customHeight="1" s="32">
      <c r="A37" s="44" t="inlineStr">
        <is>
          <t>3.1</t>
        </is>
      </c>
      <c r="B37" s="45" t="inlineStr">
        <is>
          <t>Firmen-Dashboard</t>
        </is>
      </c>
      <c r="C37" s="46" t="n">
        <v>4</v>
      </c>
      <c r="D37" s="46" t="n">
        <v>1</v>
      </c>
      <c r="E37" s="42" t="inlineStr">
        <is>
          <t>✅ Fertig</t>
        </is>
      </c>
      <c r="F37" s="44" t="inlineStr">
        <is>
          <t>v7.3.0</t>
        </is>
      </c>
      <c r="G37" s="44" t="inlineStr">
        <is>
          <t>06.01.2026</t>
        </is>
      </c>
      <c r="H37" s="47" t="inlineStr">
        <is>
          <t>Statistiken</t>
        </is>
      </c>
    </row>
    <row r="38" ht="15" customHeight="1" s="32">
      <c r="A38" s="44" t="inlineStr">
        <is>
          <t>3.2</t>
        </is>
      </c>
      <c r="B38" s="45" t="inlineStr">
        <is>
          <t>Firmen-Portal Navigation</t>
        </is>
      </c>
      <c r="C38" s="46" t="n">
        <v>2</v>
      </c>
      <c r="D38" s="46" t="n">
        <v>0.5</v>
      </c>
      <c r="E38" s="42" t="inlineStr">
        <is>
          <t>✅ Fertig</t>
        </is>
      </c>
      <c r="F38" s="44" t="inlineStr">
        <is>
          <t>v7.3.0</t>
        </is>
      </c>
      <c r="G38" s="44" t="inlineStr">
        <is>
          <t>06.01.2026</t>
        </is>
      </c>
      <c r="H38" s="47" t="inlineStr">
        <is>
          <t>Header grün</t>
        </is>
      </c>
    </row>
    <row r="39" ht="15" customHeight="1" s="32">
      <c r="A39" s="44" t="inlineStr">
        <is>
          <t>3.3</t>
        </is>
      </c>
      <c r="B39" s="45" t="inlineStr">
        <is>
          <t>Zeiterfassung - Grundgerüst</t>
        </is>
      </c>
      <c r="C39" s="46" t="n">
        <v>6</v>
      </c>
      <c r="D39" s="46" t="n">
        <v>1.5</v>
      </c>
      <c r="E39" s="42" t="inlineStr">
        <is>
          <t>✅ Fertig</t>
        </is>
      </c>
      <c r="F39" s="44" t="inlineStr">
        <is>
          <t>v7.3.6</t>
        </is>
      </c>
      <c r="G39" s="44" t="inlineStr">
        <is>
          <t>07.01.2026</t>
        </is>
      </c>
      <c r="H39" s="47" t="inlineStr">
        <is>
          <t>Monatsansicht</t>
        </is>
      </c>
    </row>
    <row r="40" ht="15" customHeight="1" s="32">
      <c r="A40" s="44" t="inlineStr">
        <is>
          <t>3.4</t>
        </is>
      </c>
      <c r="B40" s="45" t="inlineStr">
        <is>
          <t>Zeiterfassung - Excel-Navigation</t>
        </is>
      </c>
      <c r="C40" s="46" t="n">
        <v>8</v>
      </c>
      <c r="D40" s="46" t="n">
        <v>2</v>
      </c>
      <c r="E40" s="42" t="inlineStr">
        <is>
          <t>✅ Fertig</t>
        </is>
      </c>
      <c r="F40" s="44" t="inlineStr">
        <is>
          <t>v7.3.10</t>
        </is>
      </c>
      <c r="G40" s="44" t="inlineStr">
        <is>
          <t>08.01.2026</t>
        </is>
      </c>
      <c r="H40" s="47" t="inlineStr">
        <is>
          <t>Tastatur-Nav</t>
        </is>
      </c>
    </row>
    <row r="41" ht="15" customHeight="1" s="32">
      <c r="A41" s="44" t="inlineStr">
        <is>
          <t>3.5</t>
        </is>
      </c>
      <c r="B41" s="45" t="inlineStr">
        <is>
          <t>Zeiterfassung - PDF-Export</t>
        </is>
      </c>
      <c r="C41" s="46" t="n">
        <v>4</v>
      </c>
      <c r="D41" s="46" t="n">
        <v>1</v>
      </c>
      <c r="E41" s="42" t="inlineStr">
        <is>
          <t>✅ Fertig</t>
        </is>
      </c>
      <c r="F41" s="44" t="inlineStr">
        <is>
          <t>v7.3.12</t>
        </is>
      </c>
      <c r="G41" s="44" t="inlineStr">
        <is>
          <t>08.01.2026</t>
        </is>
      </c>
      <c r="H41" s="47" t="inlineStr">
        <is>
          <t>jsPDF</t>
        </is>
      </c>
    </row>
    <row r="42" ht="15" customHeight="1" s="32">
      <c r="A42" s="44" t="inlineStr">
        <is>
          <t>3.6</t>
        </is>
      </c>
      <c r="B42" s="45" t="inlineStr">
        <is>
          <t>Zeiterfassung - Wording</t>
        </is>
      </c>
      <c r="C42" s="46" t="n">
        <v>1</v>
      </c>
      <c r="D42" s="46" t="n"/>
      <c r="E42" s="44" t="inlineStr">
        <is>
          <t>⏳ Offen</t>
        </is>
      </c>
      <c r="F42" s="44" t="n"/>
      <c r="G42" s="44" t="n"/>
      <c r="H42" s="47" t="inlineStr">
        <is>
          <t>Netzwerk vs Standard</t>
        </is>
      </c>
    </row>
    <row r="43" ht="15" customHeight="1" s="32">
      <c r="A43" s="44" t="inlineStr">
        <is>
          <t>3.7</t>
        </is>
      </c>
      <c r="B43" s="45" t="inlineStr">
        <is>
          <t>Projekte verwalten</t>
        </is>
      </c>
      <c r="C43" s="46" t="n">
        <v>3</v>
      </c>
      <c r="D43" s="46" t="n"/>
      <c r="E43" s="44" t="inlineStr">
        <is>
          <t>⏳ Offen</t>
        </is>
      </c>
      <c r="F43" s="44" t="n"/>
      <c r="G43" s="44" t="n"/>
      <c r="H43" s="47" t="inlineStr">
        <is>
          <t>/firma/projekte</t>
        </is>
      </c>
    </row>
    <row r="44" ht="15" customHeight="1" s="32">
      <c r="A44" s="44" t="inlineStr">
        <is>
          <t>3.8</t>
        </is>
      </c>
      <c r="B44" s="45" t="inlineStr">
        <is>
          <t>Mitarbeiter verwalten</t>
        </is>
      </c>
      <c r="C44" s="46" t="n">
        <v>3</v>
      </c>
      <c r="D44" s="46" t="n"/>
      <c r="E44" s="44" t="inlineStr">
        <is>
          <t>⏳ Offen</t>
        </is>
      </c>
      <c r="F44" s="44" t="n"/>
      <c r="G44" s="44" t="n"/>
      <c r="H44" s="47" t="inlineStr">
        <is>
          <t>/firma/mitarbeiter</t>
        </is>
      </c>
    </row>
    <row r="45" ht="15" customHeight="1" s="32">
      <c r="A45" s="44" t="inlineStr">
        <is>
          <t>3.9</t>
        </is>
      </c>
      <c r="B45" s="45" t="inlineStr">
        <is>
          <t>Berichte</t>
        </is>
      </c>
      <c r="C45" s="46" t="n">
        <v>4</v>
      </c>
      <c r="D45" s="46" t="n"/>
      <c r="E45" s="44" t="inlineStr">
        <is>
          <t>⏳ Offen</t>
        </is>
      </c>
      <c r="F45" s="44" t="n"/>
      <c r="G45" s="44" t="n"/>
      <c r="H45" s="47" t="inlineStr">
        <is>
          <t>/firma/berichte</t>
        </is>
      </c>
    </row>
    <row r="46" ht="15" customHeight="1" s="32">
      <c r="A46" s="36" t="inlineStr">
        <is>
          <t>4</t>
        </is>
      </c>
      <c r="B46" s="37" t="inlineStr">
        <is>
          <t>PHASE 4: FZUL-MIGRATION (geplant)</t>
        </is>
      </c>
      <c r="C46" s="38" t="n"/>
      <c r="D46" s="38" t="n"/>
      <c r="E46" s="36" t="n"/>
      <c r="F46" s="36" t="n"/>
      <c r="G46" s="36" t="n"/>
      <c r="H46" s="37" t="inlineStr">
        <is>
          <t>Übernahme V6-Funktionen</t>
        </is>
      </c>
    </row>
    <row r="47" ht="15" customHeight="1" s="32">
      <c r="A47" s="44" t="inlineStr">
        <is>
          <t>4.1</t>
        </is>
      </c>
      <c r="B47" s="45" t="inlineStr">
        <is>
          <t>FZul-Datenbank-Tabellen</t>
        </is>
      </c>
      <c r="C47" s="46" t="n">
        <v>3</v>
      </c>
      <c r="D47" s="46" t="n"/>
      <c r="E47" s="44" t="inlineStr">
        <is>
          <t>⏳ Offen</t>
        </is>
      </c>
      <c r="F47" s="44" t="n"/>
      <c r="G47" s="44" t="n"/>
      <c r="H47" s="47" t="inlineStr">
        <is>
          <t>fzul_* Tabellen</t>
        </is>
      </c>
    </row>
    <row r="48" ht="15" customHeight="1" s="32">
      <c r="A48" s="44" t="inlineStr">
        <is>
          <t>4.2</t>
        </is>
      </c>
      <c r="B48" s="45" t="inlineStr">
        <is>
          <t>MA-Stammdaten UI</t>
        </is>
      </c>
      <c r="C48" s="46" t="n">
        <v>4</v>
      </c>
      <c r="D48" s="46" t="n"/>
      <c r="E48" s="44" t="inlineStr">
        <is>
          <t>⏳ Offen</t>
        </is>
      </c>
      <c r="F48" s="44" t="n"/>
      <c r="G48" s="44" t="n"/>
      <c r="H48" s="47" t="inlineStr">
        <is>
          <t>Tab "MA-Daten"</t>
        </is>
      </c>
    </row>
    <row r="49" ht="15" customHeight="1" s="32">
      <c r="A49" s="44" t="inlineStr">
        <is>
          <t>4.3</t>
        </is>
      </c>
      <c r="B49" s="45" t="inlineStr">
        <is>
          <t>FZul-Editor Wizard</t>
        </is>
      </c>
      <c r="C49" s="46" t="n">
        <v>4</v>
      </c>
      <c r="D49" s="46" t="n"/>
      <c r="E49" s="44" t="inlineStr">
        <is>
          <t>⏳ Offen</t>
        </is>
      </c>
      <c r="F49" s="44" t="n"/>
      <c r="G49" s="44" t="n"/>
      <c r="H49" s="47" t="inlineStr">
        <is>
          <t>Auswahl-Dialog</t>
        </is>
      </c>
    </row>
    <row r="50" ht="15" customHeight="1" s="32">
      <c r="A50" s="44" t="inlineStr">
        <is>
          <t>4.4</t>
        </is>
      </c>
      <c r="B50" s="45" t="inlineStr">
        <is>
          <t>FZul-Editor Kalender-Raster</t>
        </is>
      </c>
      <c r="C50" s="46" t="n">
        <v>6</v>
      </c>
      <c r="D50" s="46" t="n"/>
      <c r="E50" s="44" t="inlineStr">
        <is>
          <t>⏳ Offen</t>
        </is>
      </c>
      <c r="F50" s="44" t="n"/>
      <c r="G50" s="44" t="n"/>
      <c r="H50" s="47" t="inlineStr">
        <is>
          <t>12-Monats-Grid</t>
        </is>
      </c>
    </row>
    <row r="51" ht="15" customHeight="1" s="32">
      <c r="A51" s="44" t="inlineStr">
        <is>
          <t>4.5</t>
        </is>
      </c>
      <c r="B51" s="45" t="inlineStr">
        <is>
          <t>FZul-Editor Tages-Editor</t>
        </is>
      </c>
      <c r="C51" s="46" t="n">
        <v>3</v>
      </c>
      <c r="D51" s="46" t="n"/>
      <c r="E51" s="44" t="inlineStr">
        <is>
          <t>⏳ Offen</t>
        </is>
      </c>
      <c r="F51" s="44" t="n"/>
      <c r="G51" s="44" t="n"/>
      <c r="H51" s="47" t="inlineStr">
        <is>
          <t>Popup Einzeltag</t>
        </is>
      </c>
    </row>
    <row r="52" ht="15" customHeight="1" s="32">
      <c r="A52" s="44" t="inlineStr">
        <is>
          <t>4.6</t>
        </is>
      </c>
      <c r="B52" s="45" t="inlineStr">
        <is>
          <t>FZul-Editor Auto-Fill</t>
        </is>
      </c>
      <c r="C52" s="46" t="n">
        <v>2</v>
      </c>
      <c r="D52" s="46" t="n"/>
      <c r="E52" s="44" t="inlineStr">
        <is>
          <t>⏳ Offen</t>
        </is>
      </c>
      <c r="F52" s="44" t="n"/>
      <c r="G52" s="44" t="n"/>
      <c r="H52" s="47" t="inlineStr">
        <is>
          <t>Auto-Verteilung</t>
        </is>
      </c>
    </row>
    <row r="53" ht="15" customHeight="1" s="32">
      <c r="A53" s="44" t="inlineStr">
        <is>
          <t>4.7</t>
        </is>
      </c>
      <c r="B53" s="45" t="inlineStr">
        <is>
          <t>PDF-Generierung BMF-konform</t>
        </is>
      </c>
      <c r="C53" s="46" t="n">
        <v>5</v>
      </c>
      <c r="D53" s="46" t="n"/>
      <c r="E53" s="44" t="inlineStr">
        <is>
          <t>⏳ Offen</t>
        </is>
      </c>
      <c r="F53" s="44" t="n"/>
      <c r="G53" s="44" t="n"/>
      <c r="H53" s="47" t="inlineStr">
        <is>
          <t>Stundennachweis</t>
        </is>
      </c>
    </row>
    <row r="54" ht="15" customHeight="1" s="32">
      <c r="A54" s="44" t="inlineStr">
        <is>
          <t>4.8</t>
        </is>
      </c>
      <c r="B54" s="45" t="inlineStr">
        <is>
          <t>PDF-Archiv &amp; Freigabe</t>
        </is>
      </c>
      <c r="C54" s="46" t="n">
        <v>4</v>
      </c>
      <c r="D54" s="46" t="n"/>
      <c r="E54" s="44" t="inlineStr">
        <is>
          <t>⏳ Offen</t>
        </is>
      </c>
      <c r="F54" s="44" t="n"/>
      <c r="G54" s="44" t="n"/>
      <c r="H54" s="47" t="inlineStr">
        <is>
          <t>Workflow, ZIP</t>
        </is>
      </c>
    </row>
    <row r="55" ht="15" customHeight="1" s="32">
      <c r="A55" s="36" t="inlineStr">
        <is>
          <t>5</t>
        </is>
      </c>
      <c r="B55" s="37" t="inlineStr">
        <is>
          <t>PHASE 5: PRODUKTION (geplant)</t>
        </is>
      </c>
      <c r="C55" s="38" t="n"/>
      <c r="D55" s="38" t="n"/>
      <c r="E55" s="36" t="n"/>
      <c r="F55" s="36" t="n"/>
      <c r="G55" s="36" t="n"/>
      <c r="H55" s="37" t="n"/>
    </row>
    <row r="56" ht="15" customHeight="1" s="32">
      <c r="A56" s="44" t="inlineStr">
        <is>
          <t>5.1</t>
        </is>
      </c>
      <c r="B56" s="45" t="inlineStr">
        <is>
          <t>RLS-Policies aktivieren</t>
        </is>
      </c>
      <c r="C56" s="46" t="n">
        <v>6</v>
      </c>
      <c r="D56" s="46" t="n"/>
      <c r="E56" s="44" t="inlineStr">
        <is>
          <t>⏳ Offen</t>
        </is>
      </c>
      <c r="F56" s="44" t="n"/>
      <c r="G56" s="44" t="n"/>
      <c r="H56" s="47" t="inlineStr">
        <is>
          <t>Row Level Security</t>
        </is>
      </c>
    </row>
    <row r="57" ht="15" customHeight="1" s="32">
      <c r="A57" s="44" t="inlineStr">
        <is>
          <t>5.2</t>
        </is>
      </c>
      <c r="B57" s="45" t="inlineStr">
        <is>
          <t>DSGVO-Autorisierung</t>
        </is>
      </c>
      <c r="C57" s="46" t="n">
        <v>8</v>
      </c>
      <c r="D57" s="46" t="n"/>
      <c r="E57" s="44" t="inlineStr">
        <is>
          <t>⏳ Offen</t>
        </is>
      </c>
      <c r="F57" s="44" t="n"/>
      <c r="G57" s="44" t="n"/>
      <c r="H57" s="47" t="inlineStr">
        <is>
          <t>GF-Freigabe</t>
        </is>
      </c>
    </row>
    <row r="58" ht="15" customHeight="1" s="32">
      <c r="A58" s="44" t="inlineStr">
        <is>
          <t>5.3</t>
        </is>
      </c>
      <c r="B58" s="45" t="inlineStr">
        <is>
          <t>Multi-Mandanten-Fähigkeit</t>
        </is>
      </c>
      <c r="C58" s="46" t="n">
        <v>4</v>
      </c>
      <c r="D58" s="46" t="n"/>
      <c r="E58" s="44" t="inlineStr">
        <is>
          <t>⏳ Offen</t>
        </is>
      </c>
      <c r="F58" s="44" t="n"/>
      <c r="G58" s="44" t="n"/>
      <c r="H58" s="47" t="inlineStr">
        <is>
          <t>Weitere Berater</t>
        </is>
      </c>
    </row>
    <row r="59" ht="15" customHeight="1" s="32">
      <c r="A59" s="44" t="inlineStr">
        <is>
          <t>5.4</t>
        </is>
      </c>
      <c r="B59" s="45" t="inlineStr">
        <is>
          <t>Performance-Optimierung</t>
        </is>
      </c>
      <c r="C59" s="46" t="n">
        <v>4</v>
      </c>
      <c r="D59" s="46" t="n"/>
      <c r="E59" s="44" t="inlineStr">
        <is>
          <t>⏳ Offen</t>
        </is>
      </c>
      <c r="F59" s="44" t="n"/>
      <c r="G59" s="44" t="n"/>
      <c r="H59" s="47" t="inlineStr">
        <is>
          <t>Indizes, Caching</t>
        </is>
      </c>
    </row>
    <row r="60" ht="15" customHeight="1" s="32">
      <c r="A60" s="44" t="inlineStr">
        <is>
          <t>5.5</t>
        </is>
      </c>
      <c r="B60" s="45" t="inlineStr">
        <is>
          <t>Dokumentation &amp; Schulung</t>
        </is>
      </c>
      <c r="C60" s="46" t="n">
        <v>4</v>
      </c>
      <c r="D60" s="46" t="n"/>
      <c r="E60" s="44" t="inlineStr">
        <is>
          <t>⏳ Offen</t>
        </is>
      </c>
      <c r="F60" s="44" t="n"/>
      <c r="G60" s="44" t="n"/>
      <c r="H60" s="47" t="inlineStr">
        <is>
          <t>Benutzerhandbuch</t>
        </is>
      </c>
    </row>
    <row r="61" ht="15" customHeight="1" s="32"/>
    <row r="62" ht="15" customHeight="1" s="32">
      <c r="A62" s="48" t="inlineStr">
        <is>
          <t>PM</t>
        </is>
      </c>
      <c r="B62" s="48" t="inlineStr">
        <is>
          <t>PROJEKTMANAGEMENT - META-ARBEIT (phasenübergreifend)</t>
        </is>
      </c>
    </row>
    <row r="63" ht="15" customHeight="1" s="32">
      <c r="A63" s="31" t="inlineStr">
        <is>
          <t>PM.1</t>
        </is>
      </c>
      <c r="B63" s="31" t="inlineStr">
        <is>
          <t>Konzeption Projekttracking &amp; Aufwandsanalyse</t>
        </is>
      </c>
      <c r="C63" s="31" t="n">
        <v>2</v>
      </c>
      <c r="D63" s="31" t="n">
        <v>1</v>
      </c>
      <c r="E63" s="31" t="inlineStr">
        <is>
          <t>✅ Fertig</t>
        </is>
      </c>
      <c r="F63" s="31" t="inlineStr">
        <is>
          <t>v1.4</t>
        </is>
      </c>
      <c r="G63" s="31" t="inlineStr">
        <is>
          <t>18.01.2026</t>
        </is>
      </c>
      <c r="H63" s="31" t="inlineStr">
        <is>
          <t>Phasen, Plan/Ist, KI vs klassisch</t>
        </is>
      </c>
    </row>
    <row r="64" ht="15" customHeight="1" s="32">
      <c r="A64" s="31" t="inlineStr">
        <is>
          <t>PM.2</t>
        </is>
      </c>
      <c r="B64" s="31" t="inlineStr">
        <is>
          <t>Dokumentation (Pflichtenheft + Excel-Anlage)</t>
        </is>
      </c>
      <c r="C64" s="31" t="n">
        <v>1</v>
      </c>
      <c r="D64" s="31" t="n">
        <v>0.1</v>
      </c>
      <c r="E64" s="31" t="inlineStr">
        <is>
          <t>🔄 Laufend</t>
        </is>
      </c>
      <c r="F64" s="31" t="inlineStr">
        <is>
          <t>v1.5</t>
        </is>
      </c>
      <c r="G64" s="31" t="inlineStr">
        <is>
          <t>18.01.2026</t>
        </is>
      </c>
      <c r="H64" s="31" t="inlineStr">
        <is>
          <t>Pflichtenheft v4.10, Projektplan v1.5</t>
        </is>
      </c>
    </row>
    <row r="65" ht="15" customHeight="1" s="32"/>
    <row r="66" ht="15" customHeight="1" s="32">
      <c r="A66" s="49" t="inlineStr">
        <is>
          <t>ZUSAMMENFASSUNG</t>
        </is>
      </c>
    </row>
    <row r="67" ht="15" customHeight="1" s="32">
      <c r="B67" s="31" t="inlineStr">
        <is>
          <t>Aufgaben gesamt:</t>
        </is>
      </c>
      <c r="C67" s="31">
        <f>COUNTA(A5:A61)-COUNTIF(B5:B61,"PHASE*")</f>
        <v/>
      </c>
    </row>
    <row r="68" ht="15" customHeight="1" s="32">
      <c r="B68" s="31" t="inlineStr">
        <is>
          <t>Davon erledigt:</t>
        </is>
      </c>
      <c r="C68" s="50">
        <f>COUNTIF(E5:E61,"*✅*")</f>
        <v/>
      </c>
    </row>
    <row r="69" ht="15" customHeight="1" s="32">
      <c r="B69" s="31" t="inlineStr">
        <is>
          <t>Davon offen:</t>
        </is>
      </c>
      <c r="C69" s="31">
        <f>COUNTIF(E5:E61,"*⏳*")</f>
        <v/>
      </c>
    </row>
    <row r="70" ht="15" customHeight="1" s="32"/>
    <row r="71">
      <c r="B71" s="49" t="inlineStr">
        <is>
          <t>PLAN-Aufwand gesamt (h):</t>
        </is>
      </c>
      <c r="C71" s="51">
        <f>SUM(C5:C61)</f>
        <v/>
      </c>
    </row>
    <row r="72" ht="15" customHeight="1" s="32">
      <c r="B72" s="52" t="inlineStr">
        <is>
          <t xml:space="preserve">  davon V6-Vorarbeit (h):</t>
        </is>
      </c>
      <c r="C72" s="53" t="n">
        <v>58</v>
      </c>
    </row>
    <row r="73" ht="15" customHeight="1" s="32">
      <c r="B73" s="52" t="inlineStr">
        <is>
          <t xml:space="preserve">  davon V7-Entwicklung (h):</t>
        </is>
      </c>
      <c r="C73" s="52">
        <f>SUM(C5:C61)-58</f>
        <v/>
      </c>
    </row>
    <row r="74" ht="15" customHeight="1" s="32"/>
    <row r="75" ht="15" customHeight="1" s="32">
      <c r="B75" s="49" t="inlineStr">
        <is>
          <t>IST-Aufwand bisher (h):</t>
        </is>
      </c>
      <c r="D75" s="54">
        <f>SUM(D5:D61)</f>
        <v/>
      </c>
    </row>
    <row r="76" ht="15" customHeight="1" s="32">
      <c r="B76" s="49" t="inlineStr">
        <is>
          <t>Zeitersparnis (%):</t>
        </is>
      </c>
      <c r="D76" s="55">
        <f>1-(SUM(D5:D61)/SUMIF(E5:E61,"*✅*",C5:C61))</f>
        <v/>
      </c>
    </row>
    <row r="77" ht="15" customHeight="1" s="32"/>
    <row r="78" ht="15" customHeight="1" s="32">
      <c r="B78" s="31" t="inlineStr">
        <is>
          <t>PLAN-Restaufwand offen (h):</t>
        </is>
      </c>
      <c r="C78" s="56">
        <f>SUMIF(E5:E61,"*⏳*",C5:C61)</f>
        <v/>
      </c>
    </row>
    <row r="79" ht="15" customHeight="1" s="32">
      <c r="B79" s="31" t="inlineStr">
        <is>
          <t>IST-Restaufwand geschätzt (h):</t>
        </is>
      </c>
      <c r="D79" s="56">
        <f>SUMIF(E5:E61,"*⏳*",C5:C61)*0.25</f>
        <v/>
      </c>
      <c r="E79" s="57" t="inlineStr">
        <is>
          <t>(ca. 25% vom Plan)</t>
        </is>
      </c>
    </row>
    <row r="80" ht="15" customHeight="1" s="32"/>
    <row r="81" ht="15" customHeight="1" s="32">
      <c r="B81" s="31" t="inlineStr">
        <is>
          <t>Fortschritt (nach Plan-h):</t>
        </is>
      </c>
      <c r="C81" s="58">
        <f>SUMIF(E5:E61,"*✅*",C5:C61)/SUM(C5:C61)</f>
        <v/>
      </c>
    </row>
    <row r="82" ht="15" customHeight="1" s="32"/>
    <row r="83" ht="15" customHeight="1" s="32">
      <c r="A83" s="49" t="inlineStr">
        <is>
          <t>LEGENDE</t>
        </is>
      </c>
    </row>
    <row r="84" ht="15" customHeight="1" s="32">
      <c r="B84" s="50" t="inlineStr">
        <is>
          <t>✅ Fertig</t>
        </is>
      </c>
    </row>
    <row r="85" ht="15" customHeight="1" s="32">
      <c r="B85" s="59" t="inlineStr">
        <is>
          <t>🔄 In Arbeit</t>
        </is>
      </c>
    </row>
    <row r="86" ht="15" customHeight="1" s="32">
      <c r="B86" s="31" t="inlineStr">
        <is>
          <t>⏳ Offen</t>
        </is>
      </c>
    </row>
    <row r="87" ht="15" customHeight="1" s="32">
      <c r="B87" s="60" t="inlineStr">
        <is>
          <t>V6-Vorarbeit (Phase 0)</t>
        </is>
      </c>
    </row>
    <row r="88" ht="15" customHeight="1" s="32"/>
    <row r="89">
      <c r="A89" s="49" t="inlineStr">
        <is>
          <t>Version:</t>
        </is>
      </c>
      <c r="B89" s="31" t="inlineStr">
        <is>
          <t>PROJEKTPLAN-v1.5.1</t>
        </is>
      </c>
    </row>
    <row r="90" ht="15" customHeight="1" s="32">
      <c r="A90" s="49" t="inlineStr">
        <is>
          <t>Erstellt:</t>
        </is>
      </c>
      <c r="B90" s="31" t="inlineStr">
        <is>
          <t>18. Januar 2026</t>
        </is>
      </c>
    </row>
    <row r="91" ht="15" customHeight="1" s="32"/>
  </sheetData>
  <mergeCells count="2">
    <mergeCell ref="A3:H3"/>
    <mergeCell ref="A2:H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2026-01-18T19:00:09Z</dcterms:created>
  <dcterms:modified xmlns:dcterms="http://purl.org/dc/terms/" xmlns:xsi="http://www.w3.org/2001/XMLSchema-instance" xsi:type="dcterms:W3CDTF">2026-01-18T19:59:53Z</dcterms:modified>
  <cp:revision>0</cp:revision>
</cp:coreProperties>
</file>