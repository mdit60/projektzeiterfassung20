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DieseArbeitsmappe" defaultThemeVersion="166925"/>
  <mc:AlternateContent xmlns:mc="http://schemas.openxmlformats.org/markup-compatibility/2006">
    <mc:Choice Requires="x15">
      <x15ac:absPath xmlns:x15ac="http://schemas.microsoft.com/office/spreadsheetml/2010/11/ac" url="/Users/mdbs/Documents/Dev/projektzeiterfassung20/public/templates/"/>
    </mc:Choice>
  </mc:AlternateContent>
  <xr:revisionPtr revIDLastSave="0" documentId="13_ncr:1_{F4445597-92E7-6A48-BC6D-765FE9C7DAD8}" xr6:coauthVersionLast="47" xr6:coauthVersionMax="47" xr10:uidLastSave="{00000000-0000-0000-0000-000000000000}"/>
  <bookViews>
    <workbookView xWindow="-35300" yWindow="-28180" windowWidth="46320" windowHeight="28180" xr2:uid="{4E0623F2-5C98-4C26-BE2A-0325B7E83702}"/>
  </bookViews>
  <sheets>
    <sheet name="MA1" sheetId="1" r:id="rId1"/>
  </sheets>
  <definedNames>
    <definedName name="_xlnm.Print_Area" localSheetId="0">'MA1'!$A$1:$AH$71</definedName>
    <definedName name="Z_263BB8BC_7D4A_4DD9_8EF6_04E65A564ED4_.wvu.PrintArea" localSheetId="0" hidden="1">'MA1'!$A$1:$AH$71</definedName>
    <definedName name="Z_263BB8BC_7D4A_4DD9_8EF6_04E65A564ED4_.wvu.Rows" localSheetId="0" hidden="1">'MA1'!$75:$75</definedName>
  </definedNames>
  <calcPr calcId="191029"/>
  <customWorkbookViews>
    <customWorkbookView name="FZul" guid="{263BB8BC-7D4A-4DD9-8EF6-04E65A564ED4}" maximized="1" xWindow="2551" yWindow="-9" windowWidth="2578" windowHeight="1408"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1" l="1"/>
  <c r="AA43" i="1"/>
  <c r="U43" i="1"/>
  <c r="U42" i="1"/>
  <c r="AA41" i="1"/>
  <c r="U41" i="1"/>
  <c r="AA40" i="1"/>
  <c r="U40" i="1"/>
  <c r="U39" i="1"/>
  <c r="AA39" i="1" s="1"/>
  <c r="AA38" i="1"/>
  <c r="AG32" i="1"/>
  <c r="AG30" i="1"/>
  <c r="AO29" i="1"/>
  <c r="AN29" i="1"/>
  <c r="AO28" i="1"/>
  <c r="AN28" i="1"/>
  <c r="AG28" i="1"/>
  <c r="AN27" i="1"/>
  <c r="AN26" i="1"/>
  <c r="AG26" i="1"/>
  <c r="AO25" i="1"/>
  <c r="AN25" i="1"/>
  <c r="AN24" i="1"/>
  <c r="AG24" i="1"/>
  <c r="AN23" i="1"/>
  <c r="AO22" i="1"/>
  <c r="AN22" i="1"/>
  <c r="AL22" i="1"/>
  <c r="AG22" i="1"/>
  <c r="AO21" i="1"/>
  <c r="AN21" i="1"/>
  <c r="AO20" i="1"/>
  <c r="AN20" i="1"/>
  <c r="AL20" i="1"/>
  <c r="AG20" i="1"/>
  <c r="AZ19" i="1"/>
  <c r="AY19" i="1"/>
  <c r="AT19" i="1"/>
  <c r="AP19" i="1" s="1"/>
  <c r="AR19" i="1" s="1"/>
  <c r="AQ19" i="1" s="1"/>
  <c r="AO19" i="1"/>
  <c r="AN19" i="1"/>
  <c r="AO18" i="1"/>
  <c r="AN18" i="1"/>
  <c r="AL18" i="1"/>
  <c r="AG18" i="1"/>
  <c r="AT17" i="1"/>
  <c r="AX17" i="1" s="1"/>
  <c r="AO17" i="1"/>
  <c r="AN17" i="1"/>
  <c r="AO16" i="1"/>
  <c r="AN16" i="1"/>
  <c r="AL16" i="1"/>
  <c r="AG16" i="1"/>
  <c r="AT15" i="1"/>
  <c r="AP15" i="1" s="1"/>
  <c r="AR15" i="1"/>
  <c r="AQ15" i="1" s="1"/>
  <c r="AN15" i="1"/>
  <c r="AN14" i="1"/>
  <c r="AL14" i="1"/>
  <c r="AG14" i="1"/>
  <c r="AY13" i="1"/>
  <c r="AT13" i="1"/>
  <c r="AP13" i="1"/>
  <c r="AR13" i="1" s="1"/>
  <c r="AQ13" i="1" s="1"/>
  <c r="AO13" i="1"/>
  <c r="AN13" i="1"/>
  <c r="AG12" i="1"/>
  <c r="AL12" i="1" s="1"/>
  <c r="A12" i="1"/>
  <c r="AZ10" i="1"/>
  <c r="AT24" i="1" s="1"/>
  <c r="AP24" i="1" s="1"/>
  <c r="AR24" i="1" s="1"/>
  <c r="AQ24" i="1" s="1"/>
  <c r="AG10" i="1"/>
  <c r="B10" i="1"/>
  <c r="A10" i="1"/>
  <c r="AZ7" i="1"/>
  <c r="AZ23" i="1" s="1"/>
  <c r="AH3" i="1"/>
  <c r="AZ26" i="1" l="1"/>
  <c r="AZ15" i="1"/>
  <c r="AX18" i="1"/>
  <c r="AX16" i="1"/>
  <c r="AW17" i="1"/>
  <c r="AL10" i="1"/>
  <c r="AG34" i="1"/>
  <c r="AT23" i="1"/>
  <c r="AT21" i="1"/>
  <c r="AP17" i="1"/>
  <c r="AR17" i="1" s="1"/>
  <c r="AQ17" i="1" s="1"/>
  <c r="AT18" i="1"/>
  <c r="AP18" i="1" s="1"/>
  <c r="AR18" i="1" s="1"/>
  <c r="AQ18" i="1" s="1"/>
  <c r="AT20" i="1"/>
  <c r="AJ10" i="1"/>
  <c r="AY15" i="1"/>
  <c r="AV15" i="1" s="1"/>
  <c r="AO15" i="1" s="1"/>
  <c r="AZ17" i="1"/>
  <c r="AY24" i="1"/>
  <c r="AT29" i="1"/>
  <c r="AP29" i="1" s="1"/>
  <c r="AR29" i="1" s="1"/>
  <c r="AQ29" i="1" s="1"/>
  <c r="AZ24" i="1"/>
  <c r="AY29" i="1"/>
  <c r="AZ29" i="1"/>
  <c r="A14" i="1"/>
  <c r="AD12" i="1"/>
  <c r="AY14" i="1"/>
  <c r="AY27" i="1"/>
  <c r="AT27" i="1"/>
  <c r="AP27" i="1" s="1"/>
  <c r="AR27" i="1" s="1"/>
  <c r="AQ27" i="1" s="1"/>
  <c r="AZ14" i="1"/>
  <c r="AV14" i="1" s="1"/>
  <c r="AO14" i="1" s="1"/>
  <c r="AQ26" i="1"/>
  <c r="AZ27" i="1"/>
  <c r="AV27" i="1" s="1"/>
  <c r="AO27" i="1" s="1"/>
  <c r="AT28" i="1"/>
  <c r="AP28" i="1" s="1"/>
  <c r="AR28" i="1" s="1"/>
  <c r="AQ28" i="1" s="1"/>
  <c r="AY28" i="1"/>
  <c r="AY25" i="1"/>
  <c r="AT26" i="1"/>
  <c r="AP26" i="1" s="1"/>
  <c r="AR26" i="1" s="1"/>
  <c r="AZ28" i="1"/>
  <c r="AZ13" i="1"/>
  <c r="AT14" i="1"/>
  <c r="AJ12" i="1"/>
  <c r="AT25" i="1"/>
  <c r="AP25" i="1" s="1"/>
  <c r="AR25" i="1" s="1"/>
  <c r="AQ25" i="1" s="1"/>
  <c r="AZ25" i="1"/>
  <c r="AY26" i="1"/>
  <c r="AV26" i="1" s="1"/>
  <c r="AO26" i="1" s="1"/>
  <c r="AP20" i="1" l="1"/>
  <c r="AR20" i="1" s="1"/>
  <c r="AQ20" i="1" s="1"/>
  <c r="AX20" i="1"/>
  <c r="AW20" i="1"/>
  <c r="O53" i="1"/>
  <c r="O48" i="1"/>
  <c r="AW23" i="1"/>
  <c r="AP23" i="1"/>
  <c r="AR23" i="1" s="1"/>
  <c r="AQ23" i="1" s="1"/>
  <c r="AX23" i="1"/>
  <c r="AW16" i="1"/>
  <c r="AW18" i="1"/>
  <c r="AY17" i="1"/>
  <c r="AX21" i="1"/>
  <c r="AX22" i="1" s="1"/>
  <c r="AW21" i="1"/>
  <c r="AP21" i="1"/>
  <c r="AR21" i="1" s="1"/>
  <c r="AQ21" i="1" s="1"/>
  <c r="AT22" i="1"/>
  <c r="AP22" i="1" s="1"/>
  <c r="AR22" i="1" s="1"/>
  <c r="AQ22" i="1" s="1"/>
  <c r="AJ14" i="1"/>
  <c r="A16" i="1"/>
  <c r="I14" i="1"/>
  <c r="AP14" i="1"/>
  <c r="AR14" i="1" s="1"/>
  <c r="AQ14" i="1" s="1"/>
  <c r="G10" i="1"/>
  <c r="AV24" i="1"/>
  <c r="AO24" i="1" s="1"/>
  <c r="AW22" i="1" l="1"/>
  <c r="AZ21" i="1"/>
  <c r="AY21" i="1"/>
  <c r="AZ16" i="1"/>
  <c r="AY16" i="1"/>
  <c r="AT16" i="1"/>
  <c r="AZ20" i="1"/>
  <c r="AY20" i="1"/>
  <c r="V16" i="1"/>
  <c r="H16" i="1"/>
  <c r="T16" i="1"/>
  <c r="F16" i="1"/>
  <c r="AD16" i="1"/>
  <c r="AJ16" i="1"/>
  <c r="S16" i="1"/>
  <c r="E16" i="1"/>
  <c r="N16" i="1"/>
  <c r="R16" i="1"/>
  <c r="D16" i="1"/>
  <c r="AE16" i="1"/>
  <c r="Q16" i="1"/>
  <c r="C16" i="1"/>
  <c r="A18" i="1"/>
  <c r="K16" i="1"/>
  <c r="X16" i="1"/>
  <c r="Y16" i="1"/>
  <c r="Z16" i="1"/>
  <c r="I16" i="1"/>
  <c r="W16" i="1"/>
  <c r="L16" i="1"/>
  <c r="J16" i="1"/>
  <c r="AY18" i="1"/>
  <c r="AZ18" i="1"/>
  <c r="AY23" i="1"/>
  <c r="AV23" i="1" s="1"/>
  <c r="AO23" i="1" s="1"/>
  <c r="AP16" i="1" l="1"/>
  <c r="AR16" i="1" s="1"/>
  <c r="AQ16" i="1" s="1"/>
  <c r="B12" i="1"/>
  <c r="L10" i="1"/>
  <c r="AD10" i="1"/>
  <c r="P12" i="1"/>
  <c r="R12" i="1"/>
  <c r="D12" i="1"/>
  <c r="Z10" i="1"/>
  <c r="W12" i="1"/>
  <c r="T12" i="1"/>
  <c r="I10" i="1"/>
  <c r="R10" i="1"/>
  <c r="R14" i="1"/>
  <c r="AC14" i="1"/>
  <c r="X12" i="1"/>
  <c r="N10" i="1"/>
  <c r="F12" i="1"/>
  <c r="Y10" i="1"/>
  <c r="AE10" i="1"/>
  <c r="S14" i="1"/>
  <c r="AA10" i="1"/>
  <c r="K12" i="1"/>
  <c r="O10" i="1"/>
  <c r="AE14" i="1"/>
  <c r="O12" i="1"/>
  <c r="U12" i="1"/>
  <c r="AF14" i="1"/>
  <c r="W10" i="1"/>
  <c r="U10" i="1"/>
  <c r="D14" i="1"/>
  <c r="O14" i="1"/>
  <c r="V14" i="1"/>
  <c r="E10" i="1"/>
  <c r="D10" i="1"/>
  <c r="V10" i="1"/>
  <c r="S12" i="1"/>
  <c r="X10" i="1"/>
  <c r="K14" i="1"/>
  <c r="Z12" i="1"/>
  <c r="E14" i="1"/>
  <c r="AF10" i="1"/>
  <c r="P10" i="1"/>
  <c r="Q10" i="1"/>
  <c r="Q12" i="1"/>
  <c r="U14" i="1"/>
  <c r="C12" i="1"/>
  <c r="N14" i="1"/>
  <c r="F10" i="1"/>
  <c r="Y14" i="1"/>
  <c r="V12" i="1"/>
  <c r="AA12" i="1"/>
  <c r="L14" i="1"/>
  <c r="J14" i="1"/>
  <c r="E12" i="1"/>
  <c r="Q14" i="1"/>
  <c r="AC12" i="1"/>
  <c r="J10" i="1"/>
  <c r="P14" i="1"/>
  <c r="Y12" i="1"/>
  <c r="M14" i="1"/>
  <c r="AB14" i="1"/>
  <c r="H10" i="1"/>
  <c r="H12" i="1"/>
  <c r="G12" i="1"/>
  <c r="B14" i="1"/>
  <c r="AC10" i="1"/>
  <c r="M12" i="1"/>
  <c r="AB10" i="1"/>
  <c r="AA14" i="1"/>
  <c r="AD14" i="1"/>
  <c r="AB12" i="1"/>
  <c r="K10" i="1"/>
  <c r="H14" i="1"/>
  <c r="C14" i="1"/>
  <c r="J12" i="1"/>
  <c r="Z14" i="1"/>
  <c r="C10" i="1"/>
  <c r="N12" i="1"/>
  <c r="S10" i="1"/>
  <c r="X14" i="1"/>
  <c r="T10" i="1"/>
  <c r="T14" i="1"/>
  <c r="F14" i="1"/>
  <c r="M10" i="1"/>
  <c r="I12" i="1"/>
  <c r="L12" i="1"/>
  <c r="W14" i="1"/>
  <c r="G14" i="1"/>
  <c r="G16" i="1"/>
  <c r="M16" i="1"/>
  <c r="AA16" i="1"/>
  <c r="AB16" i="1"/>
  <c r="AZ30" i="1"/>
  <c r="O42" i="1" s="1"/>
  <c r="AA42" i="1" s="1"/>
  <c r="AA44" i="1" s="1"/>
  <c r="AA45" i="1" s="1"/>
  <c r="O49" i="1" s="1"/>
  <c r="O50" i="1" s="1"/>
  <c r="W18" i="1"/>
  <c r="I18" i="1"/>
  <c r="AK18" i="1"/>
  <c r="U18" i="1"/>
  <c r="G18" i="1"/>
  <c r="Q18" i="1"/>
  <c r="V18" i="1"/>
  <c r="H18" i="1"/>
  <c r="C18" i="1"/>
  <c r="AJ18" i="1"/>
  <c r="T18" i="1"/>
  <c r="F18" i="1"/>
  <c r="AE18" i="1"/>
  <c r="S18" i="1"/>
  <c r="E18" i="1"/>
  <c r="AF18" i="1"/>
  <c r="R18" i="1"/>
  <c r="D18" i="1"/>
  <c r="AD18" i="1"/>
  <c r="P18" i="1"/>
  <c r="B18" i="1"/>
  <c r="AC18" i="1"/>
  <c r="O18" i="1"/>
  <c r="AB18" i="1"/>
  <c r="N18" i="1"/>
  <c r="A20" i="1"/>
  <c r="X18" i="1"/>
  <c r="M18" i="1"/>
  <c r="L18" i="1"/>
  <c r="K18" i="1"/>
  <c r="J18" i="1"/>
  <c r="AA18" i="1"/>
  <c r="Y18" i="1"/>
  <c r="Z18" i="1"/>
  <c r="O16" i="1"/>
  <c r="B16" i="1"/>
  <c r="U16" i="1"/>
  <c r="AC16" i="1"/>
  <c r="P16" i="1"/>
  <c r="AZ22" i="1"/>
  <c r="AY22" i="1"/>
  <c r="A22" i="1" l="1"/>
  <c r="Y20" i="1"/>
  <c r="K20" i="1"/>
  <c r="W20" i="1"/>
  <c r="I20" i="1"/>
  <c r="AJ20" i="1"/>
  <c r="S20" i="1"/>
  <c r="X20" i="1"/>
  <c r="J20" i="1"/>
  <c r="V20" i="1"/>
  <c r="H20" i="1"/>
  <c r="E20" i="1"/>
  <c r="U20" i="1"/>
  <c r="G20" i="1"/>
  <c r="AK20" i="1"/>
  <c r="T20" i="1"/>
  <c r="F20" i="1"/>
  <c r="R20" i="1"/>
  <c r="D20" i="1"/>
  <c r="AE20" i="1"/>
  <c r="Q20" i="1"/>
  <c r="C20" i="1"/>
  <c r="AD20" i="1"/>
  <c r="P20" i="1"/>
  <c r="B20" i="1"/>
  <c r="AC20" i="1"/>
  <c r="O20" i="1"/>
  <c r="AA20" i="1"/>
  <c r="Z20" i="1"/>
  <c r="M20" i="1"/>
  <c r="AB20" i="1"/>
  <c r="N20" i="1"/>
  <c r="L20" i="1"/>
  <c r="AK10" i="1"/>
  <c r="AK12" i="1"/>
  <c r="AK16" i="1"/>
  <c r="AK14" i="1"/>
  <c r="A24" i="1" l="1"/>
  <c r="AC22" i="1"/>
  <c r="O22" i="1"/>
  <c r="Z22" i="1"/>
  <c r="L22" i="1"/>
  <c r="X22" i="1"/>
  <c r="J22" i="1"/>
  <c r="F22" i="1"/>
  <c r="Y22" i="1"/>
  <c r="K22" i="1"/>
  <c r="W22" i="1"/>
  <c r="I22" i="1"/>
  <c r="AJ22" i="1"/>
  <c r="T22" i="1"/>
  <c r="V22" i="1"/>
  <c r="H22" i="1"/>
  <c r="AK22" i="1"/>
  <c r="U22" i="1"/>
  <c r="G22" i="1"/>
  <c r="S22" i="1"/>
  <c r="E22" i="1"/>
  <c r="AF22" i="1"/>
  <c r="R22" i="1"/>
  <c r="D22" i="1"/>
  <c r="AE22" i="1"/>
  <c r="Q22" i="1"/>
  <c r="C22" i="1"/>
  <c r="AD22" i="1"/>
  <c r="P22" i="1"/>
  <c r="B22" i="1"/>
  <c r="N22" i="1"/>
  <c r="M22" i="1"/>
  <c r="AB22" i="1"/>
  <c r="AA22" i="1"/>
  <c r="AC24" i="1" l="1"/>
  <c r="O24" i="1"/>
  <c r="AB24" i="1"/>
  <c r="N24" i="1"/>
  <c r="A26" i="1"/>
  <c r="Y24" i="1"/>
  <c r="K24" i="1"/>
  <c r="W24" i="1"/>
  <c r="I24" i="1"/>
  <c r="X24" i="1"/>
  <c r="J24" i="1"/>
  <c r="V24" i="1"/>
  <c r="H24" i="1"/>
  <c r="S24" i="1"/>
  <c r="E24" i="1"/>
  <c r="AK24" i="1"/>
  <c r="AL24" i="1" s="1"/>
  <c r="U24" i="1"/>
  <c r="G24" i="1"/>
  <c r="AJ24" i="1"/>
  <c r="T24" i="1"/>
  <c r="F24" i="1"/>
  <c r="AF24" i="1"/>
  <c r="R24" i="1"/>
  <c r="D24" i="1"/>
  <c r="AE24" i="1"/>
  <c r="Q24" i="1"/>
  <c r="C24" i="1"/>
  <c r="AD24" i="1"/>
  <c r="P24" i="1"/>
  <c r="B24" i="1"/>
  <c r="M24" i="1"/>
  <c r="L24" i="1"/>
  <c r="AA24" i="1"/>
  <c r="Z24" i="1"/>
  <c r="R26" i="1" l="1"/>
  <c r="D26" i="1"/>
  <c r="AE26" i="1"/>
  <c r="Q26" i="1"/>
  <c r="C26" i="1"/>
  <c r="AC26" i="1"/>
  <c r="O26" i="1"/>
  <c r="AB26" i="1"/>
  <c r="N26" i="1"/>
  <c r="Z26" i="1"/>
  <c r="L26" i="1"/>
  <c r="AA26" i="1"/>
  <c r="M26" i="1"/>
  <c r="A28" i="1"/>
  <c r="Y26" i="1"/>
  <c r="K26" i="1"/>
  <c r="V26" i="1"/>
  <c r="H26" i="1"/>
  <c r="X26" i="1"/>
  <c r="J26" i="1"/>
  <c r="W26" i="1"/>
  <c r="I26" i="1"/>
  <c r="U26" i="1"/>
  <c r="G26" i="1"/>
  <c r="AK26" i="1"/>
  <c r="AL26" i="1" s="1"/>
  <c r="T26" i="1"/>
  <c r="F26" i="1"/>
  <c r="AJ26" i="1"/>
  <c r="S26" i="1"/>
  <c r="E26" i="1"/>
  <c r="B26" i="1"/>
  <c r="P26" i="1"/>
  <c r="AD26" i="1"/>
  <c r="AK28" i="1" l="1"/>
  <c r="AL28" i="1" s="1"/>
  <c r="U28" i="1"/>
  <c r="G28" i="1"/>
  <c r="AJ28" i="1"/>
  <c r="T28" i="1"/>
  <c r="F28" i="1"/>
  <c r="AF28" i="1"/>
  <c r="R28" i="1"/>
  <c r="D28" i="1"/>
  <c r="AE28" i="1"/>
  <c r="Q28" i="1"/>
  <c r="C28" i="1"/>
  <c r="Y28" i="1"/>
  <c r="AD28" i="1"/>
  <c r="P28" i="1"/>
  <c r="B28" i="1"/>
  <c r="AC28" i="1"/>
  <c r="O28" i="1"/>
  <c r="AB28" i="1"/>
  <c r="N28" i="1"/>
  <c r="K28" i="1"/>
  <c r="AA28" i="1"/>
  <c r="M28" i="1"/>
  <c r="Z28" i="1"/>
  <c r="L28" i="1"/>
  <c r="A30" i="1"/>
  <c r="X28" i="1"/>
  <c r="J28" i="1"/>
  <c r="W28" i="1"/>
  <c r="I28" i="1"/>
  <c r="V28" i="1"/>
  <c r="H28" i="1"/>
  <c r="S28" i="1"/>
  <c r="E28" i="1"/>
  <c r="Y30" i="1" l="1"/>
  <c r="K30" i="1"/>
  <c r="X30" i="1"/>
  <c r="J30" i="1"/>
  <c r="A32" i="1"/>
  <c r="V30" i="1"/>
  <c r="H30" i="1"/>
  <c r="U30" i="1"/>
  <c r="G30" i="1"/>
  <c r="AK30" i="1"/>
  <c r="AL30" i="1" s="1"/>
  <c r="T30" i="1"/>
  <c r="F30" i="1"/>
  <c r="AJ30" i="1"/>
  <c r="S30" i="1"/>
  <c r="E30" i="1"/>
  <c r="R30" i="1"/>
  <c r="D30" i="1"/>
  <c r="AE30" i="1"/>
  <c r="Q30" i="1"/>
  <c r="C30" i="1"/>
  <c r="AD30" i="1"/>
  <c r="P30" i="1"/>
  <c r="B30" i="1"/>
  <c r="AC30" i="1"/>
  <c r="O30" i="1"/>
  <c r="AB30" i="1"/>
  <c r="N30" i="1"/>
  <c r="AA30" i="1"/>
  <c r="M30" i="1"/>
  <c r="Z30" i="1"/>
  <c r="L30" i="1"/>
  <c r="I30" i="1"/>
  <c r="W30" i="1"/>
  <c r="AE32" i="1" l="1"/>
  <c r="Q32" i="1"/>
  <c r="C32" i="1"/>
  <c r="AD32" i="1"/>
  <c r="P32" i="1"/>
  <c r="B32" i="1"/>
  <c r="AC32" i="1"/>
  <c r="O32" i="1"/>
  <c r="AB32" i="1"/>
  <c r="N32" i="1"/>
  <c r="AA32" i="1"/>
  <c r="M32" i="1"/>
  <c r="Z32" i="1"/>
  <c r="L32" i="1"/>
  <c r="Y32" i="1"/>
  <c r="K32" i="1"/>
  <c r="X32" i="1"/>
  <c r="J32" i="1"/>
  <c r="W32" i="1"/>
  <c r="I32" i="1"/>
  <c r="V32" i="1"/>
  <c r="H32" i="1"/>
  <c r="AK32" i="1"/>
  <c r="U32" i="1"/>
  <c r="G32" i="1"/>
  <c r="AJ32" i="1"/>
  <c r="T32" i="1"/>
  <c r="F32" i="1"/>
  <c r="S32" i="1"/>
  <c r="E32" i="1"/>
  <c r="AF32" i="1"/>
  <c r="R32" i="1"/>
  <c r="D32" i="1"/>
  <c r="AL32" i="1" l="1"/>
  <c r="AL35" i="1" s="1"/>
  <c r="AK35" i="1"/>
</calcChain>
</file>

<file path=xl/sharedStrings.xml><?xml version="1.0" encoding="utf-8"?>
<sst xmlns="http://schemas.openxmlformats.org/spreadsheetml/2006/main" count="171" uniqueCount="131">
  <si>
    <t>Wirtschaftsjahr:</t>
  </si>
  <si>
    <t>Bundesland</t>
  </si>
  <si>
    <t>Schleswig-Holstein</t>
  </si>
  <si>
    <t>Angaben zum im FuE-Vorhaben unmittelbar mit FuE-Aktivitäten beschäftigten Arbeitnehmer:</t>
  </si>
  <si>
    <t>Name:</t>
  </si>
  <si>
    <t>Vorname:</t>
  </si>
  <si>
    <t>Monat</t>
  </si>
  <si>
    <t>Dokumentation der Arbeitsstunden für FuE-Tätigkeiten im FuE-Vorhaben</t>
  </si>
  <si>
    <t>je Arbeitstag</t>
  </si>
  <si>
    <t>FT</t>
  </si>
  <si>
    <t>FT eff.</t>
  </si>
  <si>
    <t>insg.</t>
  </si>
  <si>
    <t>Bestätigung</t>
  </si>
  <si>
    <t>Feiertage</t>
  </si>
  <si>
    <t>Jahr</t>
  </si>
  <si>
    <t>Untersschrift</t>
  </si>
  <si>
    <t>Bayern</t>
  </si>
  <si>
    <t>Datum</t>
  </si>
  <si>
    <t>Abk.</t>
  </si>
  <si>
    <t>M</t>
  </si>
  <si>
    <t>WT</t>
  </si>
  <si>
    <t>Tag</t>
  </si>
  <si>
    <t>Frei</t>
  </si>
  <si>
    <t>Neujahr</t>
  </si>
  <si>
    <t>Neuj.</t>
  </si>
  <si>
    <t>Hl. 3 Könige</t>
  </si>
  <si>
    <t>Internat. Frauentag</t>
  </si>
  <si>
    <t>Karfreitag</t>
  </si>
  <si>
    <t>Karfr.</t>
  </si>
  <si>
    <t>Ostersonntag</t>
  </si>
  <si>
    <t>OS</t>
  </si>
  <si>
    <t>Ostermontag</t>
  </si>
  <si>
    <t>OM</t>
  </si>
  <si>
    <t>Tag der Arbeit</t>
  </si>
  <si>
    <t>TdA</t>
  </si>
  <si>
    <t>Christi Himmelfahrt</t>
  </si>
  <si>
    <t>Chr.HF</t>
  </si>
  <si>
    <t>Pfingstsonntag</t>
  </si>
  <si>
    <t>PS</t>
  </si>
  <si>
    <t>Pfingstmontag</t>
  </si>
  <si>
    <t>PM</t>
  </si>
  <si>
    <t>Fronleichnam</t>
  </si>
  <si>
    <t>Mariä Himmelfahrt</t>
  </si>
  <si>
    <t>Tag der dt. Einheit</t>
  </si>
  <si>
    <t>TDE</t>
  </si>
  <si>
    <t>Reformationstag</t>
  </si>
  <si>
    <t>Allerheiligen</t>
  </si>
  <si>
    <t>1. Weihnachtstag</t>
  </si>
  <si>
    <t>1.WT</t>
  </si>
  <si>
    <t>2. Weihnachtstag</t>
  </si>
  <si>
    <t>2.WT</t>
  </si>
  <si>
    <t>Anzahl Feiertage</t>
  </si>
  <si>
    <t>Summe der Arbeitsstunden für FuE-Tätigkeiten im FuE-Vorhaben:</t>
  </si>
  <si>
    <t>wöchentliche Arbeitszeit:</t>
  </si>
  <si>
    <t>Stunden</t>
  </si>
  <si>
    <t xml:space="preserve">Jahresarbeitsstunden (wöchentliche Arbeitszeit x 52 Wochen) </t>
  </si>
  <si>
    <t xml:space="preserve">Arbeitsvertraglich vereinbarter Urlaubsanspruch </t>
  </si>
  <si>
    <t>Tage x</t>
  </si>
  <si>
    <t>Stunden =</t>
  </si>
  <si>
    <t>3K</t>
  </si>
  <si>
    <t>IFT</t>
  </si>
  <si>
    <t>FL</t>
  </si>
  <si>
    <t>MH</t>
  </si>
  <si>
    <t>RT</t>
  </si>
  <si>
    <t>AH</t>
  </si>
  <si>
    <t>BB</t>
  </si>
  <si>
    <t>Krankheitstage</t>
  </si>
  <si>
    <t>Baden-Württemberg</t>
  </si>
  <si>
    <t>BW</t>
  </si>
  <si>
    <t>Sonderurlaub</t>
  </si>
  <si>
    <t>BY</t>
  </si>
  <si>
    <t>Gesetzliche Feiertage</t>
  </si>
  <si>
    <t>Berlin</t>
  </si>
  <si>
    <t>BE</t>
  </si>
  <si>
    <t>Kurzarbeit, Erziehungsurlaub u. ä.</t>
  </si>
  <si>
    <t>Brandenburg</t>
  </si>
  <si>
    <t>=</t>
  </si>
  <si>
    <t>Maßgebliche vereinbarte Jahresarbeitszeit</t>
  </si>
  <si>
    <t>Bremen</t>
  </si>
  <si>
    <t>HB</t>
  </si>
  <si>
    <t xml:space="preserve">Ggf. Kürzung auf Grund unterjährigem Beginn/Ende der FuE-Tätigkeit8 (x/12 x maßgebliche vereinbarte Jahresarbeitszeit) </t>
  </si>
  <si>
    <t>Hamburg</t>
  </si>
  <si>
    <t>HH</t>
  </si>
  <si>
    <t>Hessen</t>
  </si>
  <si>
    <t>HE</t>
  </si>
  <si>
    <t xml:space="preserve">2. Ermittlung des Anteils der Arbeitszeit für FuE-Tätigkeiten im FuE-Vorhaben </t>
  </si>
  <si>
    <t>Mecklenburg-Vorpommern</t>
  </si>
  <si>
    <t>MV</t>
  </si>
  <si>
    <t>Niedersachsen</t>
  </si>
  <si>
    <t>NI</t>
  </si>
  <si>
    <t>/</t>
  </si>
  <si>
    <t xml:space="preserve">Maßgebliche vereinbarte Jahresarbeitszeit (ggf. gekürzt) </t>
  </si>
  <si>
    <t>Nordrhein-Westfalen</t>
  </si>
  <si>
    <t>NW</t>
  </si>
  <si>
    <t>Rheinland-Pfalz</t>
  </si>
  <si>
    <t>RP</t>
  </si>
  <si>
    <t>Saarland</t>
  </si>
  <si>
    <t>SL</t>
  </si>
  <si>
    <t>Zusätzlich bei Eigenforschung</t>
  </si>
  <si>
    <t>Sachsen</t>
  </si>
  <si>
    <t>SN</t>
  </si>
  <si>
    <t>Sachsen-Anhalt</t>
  </si>
  <si>
    <t>ST</t>
  </si>
  <si>
    <t xml:space="preserve">Höchstgrenze12: x/12 x 2.080 Stunden </t>
  </si>
  <si>
    <t>SH</t>
  </si>
  <si>
    <t>Thüringen</t>
  </si>
  <si>
    <t>TH</t>
  </si>
  <si>
    <t>Gesehen und bestätigt:</t>
  </si>
  <si>
    <t>Datum, Unterschrift (Arbeitnehmer)</t>
  </si>
  <si>
    <t>Datum, Unterschrift (Projektverantwortlicher)</t>
  </si>
  <si>
    <t xml:space="preserve">1 Die zu führende Stundenaufzeichnung über FuE-Tätigkeiten in einem begünstigten FuE-Vorhaben verbleibt beim Anspruchsberechtigten der Forschungszulage. Die Aufzeichnung kann zu Nachweiszwecken vorgelegt werden.
Ist ein Arbeitnehmer oder im Fall von Eigenleistungen der selbst forschende Einzel- oder Mitunternehmer in mehreren begünstigten FuE-Vorhaben tätig, ist für jedes FuE-Vorhaben eine Stundenaufzeichnung zu führen. </t>
  </si>
  <si>
    <t>2 Diese Bezeichnung entspricht idealerweise der Kurzbezeichnung aus der Bescheinigung nach § 6 FZulG der Bescheinigungsstelle Forschungszulage (BSFZ).</t>
  </si>
  <si>
    <t xml:space="preserve">3 Aus der Bescheinigung nach § 6 FZulG der BSFZ (soweit vorhanden). </t>
  </si>
  <si>
    <t>4 Tätigkeitsbereich des Arbeitnehmers (z. B. Laborant). Hierzu gehören keine Tätigkeiten, die nur mittelbar oder unterstützend dem FuE-Vorhaben dienen (z. B. Management, Verwaltung, Transport oder sonstige Dienstleistungen).</t>
  </si>
  <si>
    <t xml:space="preserve">5 Die Bestätigung soll durch einen Projektverantwortlichen oder eine sonstige vom Anspruchsberechtigten beauftragte Person erfolgen. </t>
  </si>
  <si>
    <t xml:space="preserve">6 Auf Basis der vertraglich, tariflich oder betrieblich vereinbarten Jahresarbeitszeit. </t>
  </si>
  <si>
    <t xml:space="preserve">7 Zur Ermittlung der maßgeblichen Jahresarbeitszeit sind die Jahresarbeitsstunden um den arbeitsvertraglich vereinbarten Anspruch auf Urlaub und um die Arbeitszeit zu kürzen, in der der Arbeitnehmer dem Arbeitgeber wegen
Krankheit, Sonderurlaub oder aufgrund von gesetzlichen Feiertagen, die auf Arbeitstage/Werktage entfallen, nicht zur Verfügung stand. Zur Ermittlung der Arbeitszeit in Stunden, die auf diese Tage entfällt, ist die vereinbarte
wöchentliche Arbeitszeit durch die vereinbarten Arbeitstage pro Woche zu teilen. Das gilt auch für Kurzarbeit, Elternzeit u. ä. </t>
  </si>
  <si>
    <t>8 Wird eine FuE-Tätigkeit im Laufe eines Jahres begonnen oder beendet, ist dies entsprechend zu berücksichtigen.</t>
  </si>
  <si>
    <t xml:space="preserve">9 Übernahme der Summe aus der Dokumentation der Arbeitsstunden im FuE-Vorhaben. </t>
  </si>
  <si>
    <t xml:space="preserve">10 Max. 1. Dies gilt auch, wenn ein Arbeitnehmer in mehreren FuE-Vorhaben tätig ist und sich aus allen FuE-Vorhaben insgesamt aufgrund Überstunden ein Wert größer als 1 ergeben würde. Die Aufteilung der förderfähigen
Aufwendung erfolgt in diesen Fällen nach dem Verhältnis der Arbeitszeiten in den jeweiligen FuE-Vorhaben. </t>
  </si>
  <si>
    <t xml:space="preserve">11 Übernahme der Summe aus der Dokumentation der Arbeitsstunden im FuE-Vorhaben. </t>
  </si>
  <si>
    <t xml:space="preserve">12 Für jede Arbeitswoche sind maximal 40 Stunden förderfähig, d. h. 52 Wochen x 40 Stunden. Aus Vereinfachungsgründen erfolgt die Ermittlung der Höchstgrenze auf Monatsbasis, soweit die FuE-Tätigkeit im gesamten Monat
erbracht wurde. Wird eine FuE-Vorhaben im Laufe eines Monats begonnen oder beendet, ist dies entsprechend zu berücksichtigen. Die Höchstgrenze gilt auch insgesamt für alle FuE-Vorhaben, wenn der selbst forschende
Einzelunternehmer oder Mitunternehmer in mehreren begünstigten FuE-Vorhaben tätig ist. </t>
  </si>
  <si>
    <r>
      <t>Steuerliche Förderung von Forschung und Entwicklung (FuE) – Stundenaufzeichnung für FuE-Tätigkeiten in einembegünstigten FuE-Vorhaben</t>
    </r>
    <r>
      <rPr>
        <b/>
        <u/>
        <vertAlign val="superscript"/>
        <sz val="14"/>
        <color theme="1"/>
        <rFont val="Calibri"/>
        <family val="2"/>
        <scheme val="minor"/>
      </rPr>
      <t>1</t>
    </r>
  </si>
  <si>
    <r>
      <t>Kurzbezeichnung des FuE-Vorhabens</t>
    </r>
    <r>
      <rPr>
        <b/>
        <vertAlign val="superscript"/>
        <sz val="11"/>
        <color theme="1"/>
        <rFont val="Calibri"/>
        <family val="2"/>
        <scheme val="minor"/>
      </rPr>
      <t>2</t>
    </r>
    <r>
      <rPr>
        <b/>
        <sz val="11"/>
        <color theme="1"/>
        <rFont val="Calibri"/>
        <family val="2"/>
        <scheme val="minor"/>
      </rPr>
      <t xml:space="preserve"> :</t>
    </r>
  </si>
  <si>
    <r>
      <t>Vorhaben-ID des FuE-Vorhabens</t>
    </r>
    <r>
      <rPr>
        <b/>
        <vertAlign val="superscript"/>
        <sz val="11"/>
        <color theme="1"/>
        <rFont val="Calibri"/>
        <family val="2"/>
        <scheme val="minor"/>
      </rPr>
      <t>3</t>
    </r>
    <r>
      <rPr>
        <b/>
        <sz val="11"/>
        <color theme="1"/>
        <rFont val="Calibri"/>
        <family val="2"/>
        <scheme val="minor"/>
      </rPr>
      <t xml:space="preserve"> :</t>
    </r>
  </si>
  <si>
    <r>
      <t>Kurzbezeichnung der FuE-Tätigkeit</t>
    </r>
    <r>
      <rPr>
        <b/>
        <vertAlign val="superscript"/>
        <sz val="11"/>
        <color theme="1"/>
        <rFont val="Calibri"/>
        <family val="2"/>
        <scheme val="minor"/>
      </rPr>
      <t>4</t>
    </r>
    <r>
      <rPr>
        <b/>
        <sz val="11"/>
        <color theme="1"/>
        <rFont val="Calibri"/>
        <family val="2"/>
        <scheme val="minor"/>
      </rPr>
      <t xml:space="preserve"> :</t>
    </r>
  </si>
  <si>
    <r>
      <t>1. Ermittlung der maßgeblichen vereinbarten Jahresarbeitszeit</t>
    </r>
    <r>
      <rPr>
        <b/>
        <vertAlign val="superscript"/>
        <sz val="11"/>
        <color theme="1"/>
        <rFont val="Calibri"/>
        <family val="2"/>
        <scheme val="minor"/>
      </rPr>
      <t>6</t>
    </r>
  </si>
  <si>
    <r>
      <t xml:space="preserve">Abzgl. </t>
    </r>
    <r>
      <rPr>
        <vertAlign val="superscript"/>
        <sz val="11"/>
        <color theme="1"/>
        <rFont val="Calibri"/>
        <family val="2"/>
        <scheme val="minor"/>
      </rPr>
      <t>7</t>
    </r>
  </si>
  <si>
    <r>
      <t>Summe der Arbeitsstunden für FuE-Tätigkeiten</t>
    </r>
    <r>
      <rPr>
        <vertAlign val="superscript"/>
        <sz val="11"/>
        <color theme="1"/>
        <rFont val="Calibri"/>
        <family val="2"/>
        <scheme val="minor"/>
      </rPr>
      <t xml:space="preserve">9 </t>
    </r>
  </si>
  <si>
    <r>
      <t>Anteil der Arbeitszeit für FuE-Tätigkeiten im FuE-Vorhaben</t>
    </r>
    <r>
      <rPr>
        <vertAlign val="superscript"/>
        <sz val="11"/>
        <color theme="1"/>
        <rFont val="Calibri"/>
        <family val="2"/>
        <scheme val="minor"/>
      </rPr>
      <t>10</t>
    </r>
  </si>
  <si>
    <r>
      <t>förderfähige Arbeitsstunden im begünstigten FuE-Vorhaben insgesamt</t>
    </r>
    <r>
      <rPr>
        <vertAlign val="superscript"/>
        <sz val="11"/>
        <color theme="1"/>
        <rFont val="Calibri"/>
        <family val="2"/>
        <scheme val="minor"/>
      </rPr>
      <t>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</si>
</sst>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
    <numFmt numFmtId="165" formatCode="ddd"/>
    <numFmt numFmtId="166" formatCode="0.0"/>
    <numFmt numFmtId="167" formatCode="0.000"/>
  </numFmts>
  <fonts count="32" x14ac:knownFonts="1">
    <font>
      <sz val="11"/>
      <color theme="1"/>
      <name val="Calibri"/>
      <family val="2"/>
      <scheme val="minor"/>
    </font>
    <font>
      <b/>
      <sz val="11"/>
      <color theme="1"/>
      <name val="Calibri"/>
      <family val="2"/>
      <scheme val="minor"/>
    </font>
    <font>
      <sz val="11"/>
      <color theme="0"/>
      <name val="Calibri"/>
      <family val="2"/>
      <scheme val="minor"/>
    </font>
    <font>
      <vertAlign val="superscript"/>
      <sz val="11"/>
      <color theme="1"/>
      <name val="Calibri"/>
      <family val="2"/>
      <scheme val="minor"/>
    </font>
    <font>
      <sz val="8"/>
      <color theme="1"/>
      <name val="Calibri"/>
      <family val="2"/>
      <scheme val="minor"/>
    </font>
    <font>
      <b/>
      <u/>
      <sz val="11"/>
      <color theme="1"/>
      <name val="Calibri"/>
      <family val="2"/>
      <scheme val="minor"/>
    </font>
    <font>
      <b/>
      <vertAlign val="superscript"/>
      <sz val="11"/>
      <color theme="1"/>
      <name val="Calibri"/>
      <family val="2"/>
      <scheme val="minor"/>
    </font>
    <font>
      <i/>
      <sz val="11"/>
      <color theme="1"/>
      <name val="Calibri"/>
      <family val="2"/>
      <scheme val="minor"/>
    </font>
    <font>
      <i/>
      <sz val="8"/>
      <color theme="1"/>
      <name val="Calibri"/>
      <family val="2"/>
      <scheme val="minor"/>
    </font>
    <font>
      <b/>
      <sz val="14"/>
      <color theme="1"/>
      <name val="Calibri"/>
      <family val="2"/>
      <scheme val="minor"/>
    </font>
    <font>
      <b/>
      <u/>
      <sz val="14"/>
      <color theme="1"/>
      <name val="Calibri"/>
      <family val="2"/>
      <scheme val="minor"/>
    </font>
    <font>
      <b/>
      <u/>
      <vertAlign val="superscript"/>
      <sz val="14"/>
      <color theme="1"/>
      <name val="Calibri"/>
      <family val="2"/>
      <scheme val="minor"/>
    </font>
    <font>
      <i/>
      <sz val="10"/>
      <color theme="1"/>
      <name val="Calibri"/>
      <family val="2"/>
      <scheme val="minor"/>
    </font>
    <font>
      <sz val="9"/>
      <color theme="1"/>
      <name val="Calibri"/>
      <family val="2"/>
      <scheme val="minor"/>
    </font>
    <font>
      <i/>
      <sz val="8"/>
      <color theme="0" tint="-0.499984740745262"/>
      <name val="Calibri"/>
      <family val="2"/>
      <scheme val="minor"/>
    </font>
    <font>
      <sz val="8"/>
      <name val="Calibri"/>
      <family val="2"/>
    </font>
    <font>
      <sz val="8"/>
      <name val="Calibri"/>
      <family val="2"/>
    </font>
    <font>
      <sz val="8"/>
      <name val="Calibri"/>
      <family val="2"/>
    </font>
    <font>
      <sz val="8"/>
      <name val="Calibri"/>
      <family val="2"/>
    </font>
    <font>
      <sz val="8"/>
      <name val="Calibri"/>
      <family val="2"/>
    </font>
    <font>
      <sz val="8"/>
      <name val="Calibri"/>
      <family val="2"/>
    </font>
    <font>
      <sz val="8"/>
      <name val="Calibri"/>
      <family val="2"/>
    </font>
    <font>
      <sz val="8"/>
      <name val="Calibri"/>
      <family val="2"/>
    </font>
    <font>
      <sz val="8"/>
      <name val="Calibri"/>
      <family val="2"/>
    </font>
    <font>
      <sz val="8"/>
      <name val="Calibri"/>
      <family val="2"/>
    </font>
    <font>
      <sz val="8"/>
      <name val="Calibri"/>
      <family val="2"/>
    </font>
    <font>
      <sz val="8"/>
      <name val="Calibri"/>
      <family val="2"/>
    </font>
    <font>
      <sz val="8"/>
      <name val="Calibri"/>
      <family val="2"/>
    </font>
    <font>
      <sz val="8"/>
      <name val="Calibri"/>
      <family val="2"/>
    </font>
    <font>
      <sz val="8"/>
      <name val="Calibri"/>
      <family val="2"/>
    </font>
    <font>
      <sz val="8"/>
      <name val="Calibri"/>
      <family val="2"/>
    </font>
    <font>
      <sz val="8"/>
      <name val="Calibri"/>
      <family val="2"/>
    </font>
  </fonts>
  <fills count="3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7" tint="0.3999450666829432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
      <patternFill patternType="solid">
        <fgColor theme="7" tint="0.79998168889431442"/>
        <bgColor indexed="64"/>
      </patternFill>
    </fill>
  </fills>
  <borders count="8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hair">
        <color indexed="64"/>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right/>
      <top/>
      <bottom style="thin">
        <color indexed="64"/>
      </bottom>
      <diagonal/>
    </border>
    <border>
      <left/>
      <right/>
      <top/>
      <bottom style="thin">
        <color indexed="64"/>
      </bottom>
      <diagonal/>
    </border>
    <border>
      <left/>
      <right/>
      <top/>
      <bottom style="thin">
        <color indexed="64"/>
      </bottom>
      <diagonal/>
    </border>
    <border>
      <left/>
      <right/>
      <top/>
      <bottom style="thin">
        <color indexed="64"/>
      </bottom>
      <diagonal/>
    </border>
    <border>
      <left/>
      <right/>
      <top/>
      <bottom style="thin">
        <color indexed="64"/>
      </bottom>
      <diagonal/>
    </border>
    <border>
      <left/>
      <right/>
      <top/>
      <bottom style="thin">
        <color indexed="64"/>
      </bottom>
      <diagonal/>
    </border>
    <border>
      <left/>
      <right/>
      <top/>
      <bottom style="thin">
        <color indexed="64"/>
      </bottom>
      <diagonal/>
    </border>
    <border>
      <left/>
      <right/>
      <top/>
      <bottom style="thin">
        <color indexed="64"/>
      </bottom>
      <diagonal/>
    </border>
    <border>
      <left/>
      <right/>
      <top/>
      <bottom style="thin">
        <color indexed="64"/>
      </bottom>
      <diagonal/>
    </border>
    <border>
      <left/>
      <right/>
      <top/>
      <bottom style="thin">
        <color indexed="64"/>
      </bottom>
      <diagonal/>
    </border>
    <border>
      <left/>
      <right/>
      <top/>
      <bottom style="thin">
        <color indexed="64"/>
      </bottom>
      <diagonal/>
    </border>
    <border>
      <left/>
      <right/>
      <top/>
      <bottom style="thin">
        <color indexed="64"/>
      </bottom>
      <diagonal/>
    </border>
    <border>
      <left/>
      <right/>
      <top/>
      <bottom style="thin">
        <color indexed="64"/>
      </bottom>
      <diagonal/>
    </border>
    <border>
      <left/>
      <right/>
      <top/>
      <bottom style="thin">
        <color indexed="64"/>
      </bottom>
      <diagonal/>
    </border>
    <border>
      <left/>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9">
    <xf numFmtId="0" fontId="0" fillId="0" borderId="0" xfId="0"/>
    <xf numFmtId="0" fontId="0" fillId="0" borderId="0" xfId="0" applyAlignment="1">
      <alignment horizontal="center"/>
    </xf>
    <xf numFmtId="0" fontId="0" fillId="0" borderId="0" xfId="0" applyAlignment="1">
      <alignment vertical="center"/>
    </xf>
    <xf numFmtId="0" fontId="1" fillId="2" borderId="3" xfId="0" applyFont="1" applyFill="1" applyBorder="1" applyAlignment="1">
      <alignment horizontal="center" vertical="center"/>
    </xf>
    <xf numFmtId="0" fontId="0" fillId="2" borderId="6" xfId="0" applyFill="1" applyBorder="1"/>
    <xf numFmtId="0" fontId="0" fillId="2" borderId="15" xfId="0" applyFill="1" applyBorder="1"/>
    <xf numFmtId="0" fontId="0" fillId="2" borderId="17" xfId="0" applyFill="1" applyBorder="1"/>
    <xf numFmtId="0" fontId="1" fillId="2" borderId="19" xfId="0" applyFont="1" applyFill="1" applyBorder="1" applyAlignment="1">
      <alignment horizontal="center" vertical="center"/>
    </xf>
    <xf numFmtId="0" fontId="0" fillId="0" borderId="21" xfId="0" applyBorder="1"/>
    <xf numFmtId="0" fontId="4" fillId="0" borderId="19" xfId="0" applyFont="1" applyBorder="1" applyAlignment="1">
      <alignment horizontal="center"/>
    </xf>
    <xf numFmtId="0" fontId="0" fillId="2" borderId="22" xfId="0" applyFill="1" applyBorder="1"/>
    <xf numFmtId="0" fontId="0" fillId="2" borderId="23" xfId="0" applyFill="1" applyBorder="1"/>
    <xf numFmtId="0" fontId="0" fillId="2" borderId="24" xfId="0" applyFill="1" applyBorder="1"/>
    <xf numFmtId="0" fontId="4" fillId="0" borderId="27" xfId="0" applyFont="1" applyBorder="1" applyAlignment="1">
      <alignment horizontal="center"/>
    </xf>
    <xf numFmtId="0" fontId="0" fillId="2" borderId="14" xfId="0" applyFill="1" applyBorder="1" applyAlignment="1">
      <alignment horizontal="center"/>
    </xf>
    <xf numFmtId="0" fontId="0" fillId="2" borderId="4" xfId="0" applyFill="1" applyBorder="1" applyAlignment="1">
      <alignment horizontal="center"/>
    </xf>
    <xf numFmtId="0" fontId="1" fillId="2" borderId="5" xfId="0" applyFont="1" applyFill="1" applyBorder="1" applyAlignment="1">
      <alignment horizontal="center"/>
    </xf>
    <xf numFmtId="0" fontId="2" fillId="0" borderId="0" xfId="0" applyFont="1" applyAlignment="1">
      <alignment horizontal="center" vertical="center"/>
    </xf>
    <xf numFmtId="0" fontId="5"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center"/>
    </xf>
    <xf numFmtId="0" fontId="4" fillId="0" borderId="0" xfId="0" applyFont="1" applyAlignment="1">
      <alignment horizontal="center" vertical="center"/>
    </xf>
    <xf numFmtId="0" fontId="0" fillId="0" borderId="0" xfId="0" applyAlignment="1">
      <alignment vertical="center" wrapText="1"/>
    </xf>
    <xf numFmtId="0" fontId="7" fillId="0" borderId="0" xfId="0" applyFont="1" applyAlignment="1">
      <alignment vertical="center"/>
    </xf>
    <xf numFmtId="0" fontId="7" fillId="0" borderId="0" xfId="0" applyFont="1" applyAlignment="1">
      <alignment horizontal="center" vertical="center"/>
    </xf>
    <xf numFmtId="0" fontId="8" fillId="0" borderId="0" xfId="0" applyFont="1" applyAlignment="1">
      <alignment horizontal="center" vertical="center"/>
    </xf>
    <xf numFmtId="0" fontId="1" fillId="2" borderId="33" xfId="0" applyFont="1" applyFill="1" applyBorder="1" applyAlignment="1">
      <alignment horizontal="center" vertical="center"/>
    </xf>
    <xf numFmtId="0" fontId="1" fillId="2" borderId="34" xfId="0" applyFont="1" applyFill="1" applyBorder="1" applyAlignment="1">
      <alignment horizontal="center" vertical="center"/>
    </xf>
    <xf numFmtId="0" fontId="0" fillId="2" borderId="33" xfId="0" applyFill="1" applyBorder="1" applyAlignment="1">
      <alignment vertical="center"/>
    </xf>
    <xf numFmtId="0" fontId="0" fillId="2" borderId="16" xfId="0" applyFill="1" applyBorder="1" applyAlignment="1">
      <alignment vertical="center"/>
    </xf>
    <xf numFmtId="0" fontId="0" fillId="2" borderId="18" xfId="0" applyFill="1" applyBorder="1" applyAlignment="1">
      <alignment vertical="center"/>
    </xf>
    <xf numFmtId="0" fontId="1" fillId="2" borderId="20" xfId="0" applyFont="1" applyFill="1" applyBorder="1" applyAlignment="1">
      <alignment horizontal="right" vertical="center"/>
    </xf>
    <xf numFmtId="0" fontId="0" fillId="0" borderId="24" xfId="0" applyBorder="1" applyAlignment="1">
      <alignment vertical="center"/>
    </xf>
    <xf numFmtId="0" fontId="0" fillId="5" borderId="0" xfId="0" applyFill="1" applyAlignment="1">
      <alignment vertical="center"/>
    </xf>
    <xf numFmtId="0" fontId="0" fillId="5" borderId="1" xfId="0" applyFill="1" applyBorder="1" applyAlignment="1">
      <alignment vertical="center"/>
    </xf>
    <xf numFmtId="14" fontId="0" fillId="0" borderId="0" xfId="0" applyNumberFormat="1" applyAlignment="1">
      <alignment vertical="center"/>
    </xf>
    <xf numFmtId="0" fontId="1" fillId="0" borderId="0" xfId="0" applyFont="1" applyAlignment="1">
      <alignment horizontal="center" vertical="center"/>
    </xf>
    <xf numFmtId="0" fontId="0" fillId="0" borderId="0" xfId="0" applyAlignment="1">
      <alignment horizontal="center" vertical="center"/>
    </xf>
    <xf numFmtId="14" fontId="0" fillId="0" borderId="0" xfId="0" applyNumberFormat="1"/>
    <xf numFmtId="2" fontId="0" fillId="0" borderId="0" xfId="0" applyNumberFormat="1"/>
    <xf numFmtId="0" fontId="0" fillId="0" borderId="6" xfId="0" applyBorder="1" applyAlignment="1">
      <alignment horizontal="center"/>
    </xf>
    <xf numFmtId="165" fontId="0" fillId="0" borderId="0" xfId="0" applyNumberFormat="1" applyAlignment="1">
      <alignment horizontal="center"/>
    </xf>
    <xf numFmtId="0" fontId="0" fillId="0" borderId="0" xfId="0" applyAlignment="1">
      <alignment horizontal="center" vertical="center" wrapText="1"/>
    </xf>
    <xf numFmtId="0" fontId="0" fillId="0" borderId="43" xfId="0" applyBorder="1"/>
    <xf numFmtId="0" fontId="0" fillId="0" borderId="44" xfId="0" applyBorder="1" applyAlignment="1">
      <alignment horizontal="center"/>
    </xf>
    <xf numFmtId="165" fontId="0" fillId="0" borderId="45" xfId="0" applyNumberFormat="1" applyBorder="1" applyAlignment="1">
      <alignment horizontal="center"/>
    </xf>
    <xf numFmtId="165" fontId="0" fillId="0" borderId="44" xfId="0" applyNumberFormat="1" applyBorder="1" applyAlignment="1">
      <alignment horizontal="center"/>
    </xf>
    <xf numFmtId="0" fontId="1" fillId="0" borderId="42" xfId="0" applyFont="1" applyBorder="1"/>
    <xf numFmtId="0" fontId="0" fillId="0" borderId="22" xfId="0" applyBorder="1" applyAlignment="1">
      <alignment horizontal="left"/>
    </xf>
    <xf numFmtId="0" fontId="0" fillId="0" borderId="43" xfId="0" applyBorder="1" applyAlignment="1">
      <alignment horizontal="left"/>
    </xf>
    <xf numFmtId="2" fontId="8" fillId="5" borderId="5" xfId="0" applyNumberFormat="1" applyFont="1" applyFill="1" applyBorder="1" applyAlignment="1" applyProtection="1">
      <alignment horizontal="left"/>
      <protection locked="0"/>
    </xf>
    <xf numFmtId="2" fontId="8" fillId="6" borderId="5" xfId="0" applyNumberFormat="1" applyFont="1" applyFill="1" applyBorder="1" applyAlignment="1" applyProtection="1">
      <alignment horizontal="left"/>
      <protection locked="0"/>
    </xf>
    <xf numFmtId="165" fontId="14" fillId="5" borderId="4" xfId="0" applyNumberFormat="1" applyFont="1" applyFill="1" applyBorder="1" applyAlignment="1">
      <alignment horizontal="left"/>
    </xf>
    <xf numFmtId="14" fontId="1" fillId="0" borderId="0" xfId="0" applyNumberFormat="1" applyFont="1" applyAlignment="1">
      <alignment horizontal="center"/>
    </xf>
    <xf numFmtId="14" fontId="0" fillId="0" borderId="0" xfId="0" applyNumberFormat="1" applyAlignment="1">
      <alignment horizontal="center"/>
    </xf>
    <xf numFmtId="0" fontId="0" fillId="0" borderId="45" xfId="0" applyBorder="1" applyAlignment="1">
      <alignment horizontal="center"/>
    </xf>
    <xf numFmtId="0" fontId="0" fillId="0" borderId="47" xfId="0" applyBorder="1"/>
    <xf numFmtId="0" fontId="0" fillId="0" borderId="1" xfId="0" applyBorder="1" applyAlignment="1">
      <alignment horizontal="center"/>
    </xf>
    <xf numFmtId="0" fontId="0" fillId="0" borderId="48" xfId="0" applyBorder="1" applyAlignment="1">
      <alignment horizontal="center"/>
    </xf>
    <xf numFmtId="1" fontId="1" fillId="0" borderId="51" xfId="0" applyNumberFormat="1" applyFont="1" applyBorder="1" applyAlignment="1">
      <alignment horizontal="center"/>
    </xf>
    <xf numFmtId="0" fontId="0" fillId="0" borderId="29" xfId="0" applyBorder="1" applyAlignment="1">
      <alignment horizontal="center"/>
    </xf>
    <xf numFmtId="1" fontId="1" fillId="0" borderId="30" xfId="0" applyNumberFormat="1" applyFont="1" applyBorder="1" applyAlignment="1">
      <alignment horizontal="center"/>
    </xf>
    <xf numFmtId="0" fontId="5" fillId="0" borderId="0" xfId="0" applyFont="1" applyAlignment="1">
      <alignment horizontal="center" vertical="center"/>
    </xf>
    <xf numFmtId="0" fontId="0" fillId="0" borderId="3" xfId="0" applyBorder="1"/>
    <xf numFmtId="0" fontId="0" fillId="0" borderId="3" xfId="0" applyBorder="1" applyAlignment="1">
      <alignment horizontal="center"/>
    </xf>
    <xf numFmtId="0" fontId="1" fillId="0" borderId="3" xfId="0" applyFont="1" applyBorder="1" applyAlignment="1">
      <alignment horizontal="left"/>
    </xf>
    <xf numFmtId="0" fontId="1" fillId="0" borderId="3" xfId="0" applyFont="1" applyBorder="1" applyAlignment="1">
      <alignment horizontal="center"/>
    </xf>
    <xf numFmtId="14" fontId="0" fillId="0" borderId="3" xfId="0" applyNumberFormat="1" applyBorder="1" applyAlignment="1">
      <alignment horizontal="center"/>
    </xf>
    <xf numFmtId="0" fontId="1" fillId="0" borderId="0" xfId="0" applyFont="1"/>
    <xf numFmtId="14" fontId="0" fillId="0" borderId="0" xfId="0" applyNumberFormat="1" applyAlignment="1">
      <alignment horizontal="center" vertical="center"/>
    </xf>
    <xf numFmtId="0" fontId="0" fillId="0" borderId="0" xfId="0" applyAlignment="1">
      <alignment horizontal="right" vertical="center"/>
    </xf>
    <xf numFmtId="0" fontId="13" fillId="0" borderId="0" xfId="0" applyFont="1" applyAlignment="1">
      <alignment horizontal="center" textRotation="90"/>
    </xf>
    <xf numFmtId="0" fontId="0" fillId="0" borderId="52" xfId="0" applyBorder="1" applyAlignment="1">
      <alignment horizontal="center"/>
    </xf>
    <xf numFmtId="0" fontId="0" fillId="0" borderId="53" xfId="0" applyBorder="1" applyAlignment="1">
      <alignment horizontal="center"/>
    </xf>
    <xf numFmtId="0" fontId="0" fillId="0" borderId="53" xfId="0" applyBorder="1" applyAlignment="1">
      <alignment horizontal="center" vertical="center"/>
    </xf>
    <xf numFmtId="0" fontId="7" fillId="0" borderId="53" xfId="0" applyFont="1" applyBorder="1" applyAlignment="1">
      <alignment horizontal="center" vertical="center"/>
    </xf>
    <xf numFmtId="0" fontId="0" fillId="0" borderId="54" xfId="0" applyBorder="1" applyAlignment="1">
      <alignment horizontal="center" vertical="center"/>
    </xf>
    <xf numFmtId="164" fontId="0" fillId="0" borderId="0" xfId="0" applyNumberFormat="1"/>
    <xf numFmtId="165" fontId="0" fillId="0" borderId="3" xfId="0" applyNumberFormat="1" applyBorder="1" applyAlignment="1">
      <alignment horizontal="center"/>
    </xf>
    <xf numFmtId="2" fontId="1" fillId="2" borderId="36" xfId="0" applyNumberFormat="1" applyFont="1" applyFill="1" applyBorder="1" applyAlignment="1">
      <alignment horizontal="center" vertical="center"/>
    </xf>
    <xf numFmtId="2" fontId="1" fillId="2" borderId="37" xfId="0" applyNumberFormat="1" applyFont="1" applyFill="1" applyBorder="1" applyAlignment="1">
      <alignment horizontal="center" vertical="center"/>
    </xf>
    <xf numFmtId="2" fontId="1" fillId="2" borderId="40" xfId="0" applyNumberFormat="1" applyFont="1" applyFill="1" applyBorder="1" applyAlignment="1">
      <alignment horizontal="center" vertical="center"/>
    </xf>
    <xf numFmtId="0" fontId="1" fillId="2" borderId="36" xfId="0" applyFont="1" applyFill="1" applyBorder="1" applyAlignment="1">
      <alignment horizontal="center" vertical="center"/>
    </xf>
    <xf numFmtId="0" fontId="1" fillId="2" borderId="37" xfId="0" applyFont="1" applyFill="1" applyBorder="1" applyAlignment="1">
      <alignment horizontal="center" vertical="center"/>
    </xf>
    <xf numFmtId="0" fontId="1" fillId="2" borderId="38" xfId="0" applyFont="1" applyFill="1" applyBorder="1" applyAlignment="1">
      <alignment horizontal="center" vertical="center"/>
    </xf>
    <xf numFmtId="0" fontId="1" fillId="2" borderId="41" xfId="0" applyFont="1" applyFill="1" applyBorder="1" applyAlignment="1">
      <alignment horizontal="right" vertical="center"/>
    </xf>
    <xf numFmtId="0" fontId="1" fillId="2" borderId="37" xfId="0" applyFont="1" applyFill="1" applyBorder="1" applyAlignment="1">
      <alignment horizontal="right" vertical="center"/>
    </xf>
    <xf numFmtId="0" fontId="1" fillId="2" borderId="40" xfId="0" applyFont="1" applyFill="1" applyBorder="1" applyAlignment="1">
      <alignment horizontal="right" vertical="center"/>
    </xf>
    <xf numFmtId="0" fontId="0" fillId="2" borderId="9" xfId="0" applyFill="1" applyBorder="1" applyAlignment="1">
      <alignment horizontal="center" vertical="center"/>
    </xf>
    <xf numFmtId="0" fontId="0" fillId="2" borderId="1" xfId="0" applyFill="1" applyBorder="1" applyAlignment="1">
      <alignment horizontal="center" vertical="center"/>
    </xf>
    <xf numFmtId="0" fontId="0" fillId="2" borderId="10" xfId="0" applyFill="1"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0" fillId="2" borderId="7" xfId="0" applyFill="1" applyBorder="1" applyAlignment="1">
      <alignment horizontal="left" vertical="center"/>
    </xf>
    <xf numFmtId="0" fontId="0" fillId="2" borderId="6" xfId="0" applyFill="1" applyBorder="1" applyAlignment="1">
      <alignment horizontal="left" vertical="center"/>
    </xf>
    <xf numFmtId="0" fontId="0" fillId="2" borderId="8" xfId="0" applyFill="1" applyBorder="1" applyAlignment="1">
      <alignment horizontal="left" vertical="center"/>
    </xf>
    <xf numFmtId="1" fontId="0" fillId="0" borderId="9" xfId="0" applyNumberFormat="1" applyBorder="1" applyAlignment="1">
      <alignment horizontal="center" vertical="center"/>
    </xf>
    <xf numFmtId="1" fontId="0" fillId="0" borderId="1" xfId="0" applyNumberFormat="1" applyBorder="1" applyAlignment="1">
      <alignment horizontal="center" vertical="center"/>
    </xf>
    <xf numFmtId="1" fontId="0" fillId="0" borderId="10" xfId="0" applyNumberFormat="1" applyBorder="1" applyAlignment="1">
      <alignment horizontal="center" vertical="center"/>
    </xf>
    <xf numFmtId="0" fontId="1" fillId="2" borderId="3" xfId="0" applyFont="1" applyFill="1" applyBorder="1" applyAlignment="1">
      <alignment horizontal="left" vertical="center"/>
    </xf>
    <xf numFmtId="1" fontId="0" fillId="5" borderId="11" xfId="0" applyNumberFormat="1" applyFill="1" applyBorder="1" applyAlignment="1" applyProtection="1">
      <alignment horizontal="center" vertical="center"/>
      <protection locked="0"/>
    </xf>
    <xf numFmtId="1" fontId="0" fillId="5" borderId="2" xfId="0" applyNumberFormat="1" applyFill="1" applyBorder="1" applyAlignment="1" applyProtection="1">
      <alignment horizontal="center" vertical="center"/>
      <protection locked="0"/>
    </xf>
    <xf numFmtId="1" fontId="0" fillId="5" borderId="12" xfId="0" applyNumberFormat="1" applyFill="1" applyBorder="1" applyAlignment="1" applyProtection="1">
      <alignment horizontal="center" vertical="center"/>
      <protection locked="0"/>
    </xf>
    <xf numFmtId="1" fontId="0" fillId="5" borderId="9" xfId="0" applyNumberFormat="1" applyFill="1" applyBorder="1" applyAlignment="1" applyProtection="1">
      <alignment horizontal="center" vertical="center"/>
      <protection locked="0"/>
    </xf>
    <xf numFmtId="1" fontId="0" fillId="5" borderId="1" xfId="0" applyNumberFormat="1" applyFill="1" applyBorder="1" applyAlignment="1" applyProtection="1">
      <alignment horizontal="center" vertical="center"/>
      <protection locked="0"/>
    </xf>
    <xf numFmtId="1" fontId="0" fillId="5" borderId="10" xfId="0" applyNumberFormat="1" applyFill="1" applyBorder="1" applyAlignment="1" applyProtection="1">
      <alignment horizontal="center" vertical="center"/>
      <protection locked="0"/>
    </xf>
    <xf numFmtId="0" fontId="1" fillId="0" borderId="6" xfId="0" applyFont="1" applyBorder="1" applyAlignment="1">
      <alignment horizontal="center"/>
    </xf>
    <xf numFmtId="0" fontId="0" fillId="5" borderId="0" xfId="0" applyFill="1" applyAlignment="1">
      <alignment horizontal="center" vertical="center"/>
    </xf>
    <xf numFmtId="0" fontId="0" fillId="5" borderId="1" xfId="0" applyFill="1" applyBorder="1" applyAlignment="1">
      <alignment horizontal="center" vertical="center"/>
    </xf>
    <xf numFmtId="0" fontId="0" fillId="0" borderId="0" xfId="0" applyAlignment="1">
      <alignment horizontal="center" vertical="center"/>
    </xf>
    <xf numFmtId="0" fontId="0" fillId="2" borderId="3" xfId="0" applyFill="1" applyBorder="1" applyAlignment="1">
      <alignment horizontal="left" vertical="center"/>
    </xf>
    <xf numFmtId="0" fontId="0" fillId="2" borderId="31" xfId="0" applyFill="1" applyBorder="1" applyAlignment="1">
      <alignment horizontal="left" vertical="center"/>
    </xf>
    <xf numFmtId="0" fontId="0" fillId="2" borderId="2" xfId="0" applyFill="1" applyBorder="1" applyAlignment="1">
      <alignment horizontal="left" vertical="center"/>
    </xf>
    <xf numFmtId="0" fontId="0" fillId="5" borderId="2" xfId="0" applyFill="1" applyBorder="1" applyAlignment="1" applyProtection="1">
      <alignment horizontal="center" vertical="center"/>
      <protection locked="0"/>
    </xf>
    <xf numFmtId="0" fontId="0" fillId="2" borderId="12" xfId="0" applyFill="1" applyBorder="1" applyAlignment="1">
      <alignment horizontal="left" vertical="center"/>
    </xf>
    <xf numFmtId="0" fontId="1" fillId="4" borderId="28" xfId="0" applyFont="1" applyFill="1" applyBorder="1" applyAlignment="1">
      <alignment horizontal="left" vertical="center"/>
    </xf>
    <xf numFmtId="0" fontId="1" fillId="4" borderId="29" xfId="0" applyFont="1" applyFill="1" applyBorder="1" applyAlignment="1">
      <alignment horizontal="left" vertical="center"/>
    </xf>
    <xf numFmtId="0" fontId="1" fillId="4" borderId="30" xfId="0" applyFont="1" applyFill="1" applyBorder="1" applyAlignment="1">
      <alignment horizontal="left" vertical="center"/>
    </xf>
    <xf numFmtId="0" fontId="0" fillId="0" borderId="11" xfId="0" applyBorder="1" applyAlignment="1">
      <alignment horizontal="center" vertical="center"/>
    </xf>
    <xf numFmtId="0" fontId="0" fillId="0" borderId="2" xfId="0" applyBorder="1" applyAlignment="1">
      <alignment horizontal="center" vertical="center"/>
    </xf>
    <xf numFmtId="0" fontId="0" fillId="0" borderId="12" xfId="0" applyBorder="1" applyAlignment="1">
      <alignment horizontal="center" vertical="center"/>
    </xf>
    <xf numFmtId="0" fontId="0" fillId="2" borderId="11" xfId="0" applyFill="1" applyBorder="1" applyAlignment="1">
      <alignment horizontal="center" vertical="center"/>
    </xf>
    <xf numFmtId="0" fontId="0" fillId="2" borderId="2" xfId="0" applyFill="1" applyBorder="1" applyAlignment="1">
      <alignment horizontal="center" vertical="center"/>
    </xf>
    <xf numFmtId="0" fontId="0" fillId="2" borderId="32" xfId="0" applyFill="1" applyBorder="1" applyAlignment="1">
      <alignment horizontal="center" vertical="center"/>
    </xf>
    <xf numFmtId="0" fontId="12" fillId="2" borderId="41" xfId="0" applyFont="1" applyFill="1" applyBorder="1" applyAlignment="1">
      <alignment horizontal="center" vertical="center" wrapText="1"/>
    </xf>
    <xf numFmtId="0" fontId="12" fillId="2" borderId="37" xfId="0" applyFont="1" applyFill="1" applyBorder="1" applyAlignment="1">
      <alignment horizontal="center" vertical="center" wrapText="1"/>
    </xf>
    <xf numFmtId="0" fontId="12" fillId="2" borderId="40" xfId="0" applyFont="1" applyFill="1" applyBorder="1" applyAlignment="1">
      <alignment horizontal="center" vertical="center" wrapText="1"/>
    </xf>
    <xf numFmtId="167" fontId="7" fillId="5" borderId="36" xfId="0" applyNumberFormat="1" applyFont="1" applyFill="1" applyBorder="1" applyAlignment="1" applyProtection="1">
      <alignment horizontal="center" vertical="center" wrapText="1"/>
      <protection locked="0"/>
    </xf>
    <xf numFmtId="167" fontId="7" fillId="5" borderId="37" xfId="0" applyNumberFormat="1" applyFont="1" applyFill="1" applyBorder="1" applyAlignment="1" applyProtection="1">
      <alignment horizontal="center" vertical="center" wrapText="1"/>
      <protection locked="0"/>
    </xf>
    <xf numFmtId="167" fontId="7" fillId="5" borderId="40" xfId="0" applyNumberFormat="1" applyFont="1" applyFill="1" applyBorder="1" applyAlignment="1" applyProtection="1">
      <alignment horizontal="center" vertical="center" wrapText="1"/>
      <protection locked="0"/>
    </xf>
    <xf numFmtId="1" fontId="0" fillId="0" borderId="11" xfId="0" applyNumberFormat="1" applyBorder="1" applyAlignment="1">
      <alignment horizontal="center" vertical="center"/>
    </xf>
    <xf numFmtId="1" fontId="0" fillId="0" borderId="2" xfId="0" applyNumberFormat="1" applyBorder="1" applyAlignment="1">
      <alignment horizontal="center" vertical="center"/>
    </xf>
    <xf numFmtId="1" fontId="0" fillId="0" borderId="12" xfId="0" applyNumberFormat="1" applyBorder="1" applyAlignment="1">
      <alignment horizontal="center" vertical="center"/>
    </xf>
    <xf numFmtId="0" fontId="0" fillId="2" borderId="35" xfId="0" applyFill="1" applyBorder="1" applyAlignment="1">
      <alignment horizontal="left" vertical="center"/>
    </xf>
    <xf numFmtId="2" fontId="1" fillId="3" borderId="36" xfId="0" applyNumberFormat="1" applyFont="1" applyFill="1" applyBorder="1" applyAlignment="1">
      <alignment horizontal="center" vertical="center"/>
    </xf>
    <xf numFmtId="2" fontId="1" fillId="3" borderId="37" xfId="0" applyNumberFormat="1" applyFont="1" applyFill="1" applyBorder="1" applyAlignment="1">
      <alignment horizontal="center" vertical="center"/>
    </xf>
    <xf numFmtId="2" fontId="1" fillId="3" borderId="38" xfId="0" applyNumberFormat="1" applyFont="1" applyFill="1" applyBorder="1" applyAlignment="1">
      <alignment horizontal="center" vertical="center"/>
    </xf>
    <xf numFmtId="0" fontId="1" fillId="2" borderId="1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2" xfId="0" applyFont="1" applyFill="1" applyBorder="1" applyAlignment="1">
      <alignment horizontal="center" vertical="center"/>
    </xf>
    <xf numFmtId="0" fontId="7" fillId="2" borderId="36" xfId="0" applyFont="1" applyFill="1" applyBorder="1" applyAlignment="1">
      <alignment horizontal="center" vertical="center"/>
    </xf>
    <xf numFmtId="0" fontId="7" fillId="2" borderId="37" xfId="0" applyFont="1" applyFill="1" applyBorder="1" applyAlignment="1">
      <alignment horizontal="center" vertical="center"/>
    </xf>
    <xf numFmtId="0" fontId="7" fillId="2" borderId="38" xfId="0" applyFont="1" applyFill="1" applyBorder="1" applyAlignment="1">
      <alignment horizontal="center" vertical="center"/>
    </xf>
    <xf numFmtId="0" fontId="1" fillId="0" borderId="11" xfId="0" applyFont="1" applyBorder="1" applyAlignment="1">
      <alignment horizontal="center" vertical="center"/>
    </xf>
    <xf numFmtId="0" fontId="1" fillId="0" borderId="2" xfId="0" applyFont="1" applyBorder="1" applyAlignment="1">
      <alignment horizontal="center" vertical="center"/>
    </xf>
    <xf numFmtId="0" fontId="1" fillId="0" borderId="12" xfId="0" applyFont="1" applyBorder="1" applyAlignment="1">
      <alignment horizontal="center" vertical="center"/>
    </xf>
    <xf numFmtId="3" fontId="0" fillId="2" borderId="36" xfId="0" applyNumberFormat="1" applyFill="1" applyBorder="1" applyAlignment="1">
      <alignment horizontal="center" vertical="center"/>
    </xf>
    <xf numFmtId="3" fontId="0" fillId="2" borderId="37" xfId="0" applyNumberFormat="1" applyFill="1" applyBorder="1" applyAlignment="1">
      <alignment horizontal="center" vertical="center"/>
    </xf>
    <xf numFmtId="3" fontId="0" fillId="2" borderId="40" xfId="0" applyNumberFormat="1" applyFill="1" applyBorder="1" applyAlignment="1">
      <alignment horizontal="center" vertical="center"/>
    </xf>
    <xf numFmtId="0" fontId="4" fillId="0" borderId="0" xfId="0" applyFont="1" applyAlignment="1">
      <alignment horizontal="left" vertical="center" wrapText="1"/>
    </xf>
    <xf numFmtId="0" fontId="1" fillId="4" borderId="39" xfId="0" applyFont="1" applyFill="1" applyBorder="1" applyAlignment="1">
      <alignment horizontal="left" vertical="center"/>
    </xf>
    <xf numFmtId="0" fontId="1" fillId="4" borderId="14" xfId="0" applyFont="1" applyFill="1" applyBorder="1" applyAlignment="1">
      <alignment horizontal="left" vertical="center"/>
    </xf>
    <xf numFmtId="0" fontId="1" fillId="4" borderId="15" xfId="0" applyFont="1" applyFill="1" applyBorder="1" applyAlignment="1">
      <alignment horizontal="left" vertical="center"/>
    </xf>
    <xf numFmtId="2" fontId="1" fillId="0" borderId="4" xfId="0" applyNumberFormat="1" applyFont="1" applyBorder="1" applyAlignment="1">
      <alignment horizontal="center" vertical="center"/>
    </xf>
    <xf numFmtId="2" fontId="1" fillId="0" borderId="26" xfId="0" applyNumberFormat="1" applyFont="1" applyBorder="1" applyAlignment="1">
      <alignment horizontal="center" vertical="center"/>
    </xf>
    <xf numFmtId="0" fontId="5" fillId="2" borderId="6" xfId="0" applyFont="1" applyFill="1" applyBorder="1" applyAlignment="1">
      <alignment horizontal="right" vertical="center"/>
    </xf>
    <xf numFmtId="0" fontId="5" fillId="2" borderId="8" xfId="0" applyFont="1" applyFill="1" applyBorder="1" applyAlignment="1">
      <alignment horizontal="right" vertical="center"/>
    </xf>
    <xf numFmtId="0" fontId="5" fillId="2" borderId="24" xfId="0" applyFont="1" applyFill="1" applyBorder="1" applyAlignment="1">
      <alignment horizontal="right" vertical="center"/>
    </xf>
    <xf numFmtId="0" fontId="5" fillId="2" borderId="25" xfId="0" applyFont="1" applyFill="1" applyBorder="1" applyAlignment="1">
      <alignment horizontal="right" vertical="center"/>
    </xf>
    <xf numFmtId="0" fontId="10" fillId="0" borderId="0" xfId="0" applyFont="1" applyAlignment="1">
      <alignment horizontal="left" vertical="center"/>
    </xf>
    <xf numFmtId="0" fontId="15" fillId="7" borderId="55" xfId="0" applyFont="1" applyFill="1" applyBorder="1" applyAlignment="1" applyProtection="1">
      <alignment horizontal="left" vertical="center" wrapText="1"/>
      <protection locked="0"/>
    </xf>
    <xf numFmtId="0" fontId="15" fillId="8" borderId="56" xfId="0" applyFont="1" applyFill="1" applyBorder="1" applyAlignment="1" applyProtection="1">
      <alignment horizontal="left" vertical="center" wrapText="1"/>
      <protection locked="0"/>
    </xf>
    <xf numFmtId="0" fontId="15" fillId="9" borderId="57" xfId="0" applyFont="1" applyFill="1" applyBorder="1" applyAlignment="1" applyProtection="1">
      <alignment horizontal="left" vertical="center" wrapText="1"/>
      <protection locked="0"/>
    </xf>
    <xf numFmtId="0" fontId="15" fillId="10" borderId="58" xfId="0" applyFont="1" applyFill="1" applyBorder="1" applyAlignment="1" applyProtection="1">
      <alignment horizontal="left" vertical="center" wrapText="1"/>
      <protection locked="0"/>
    </xf>
    <xf numFmtId="0" fontId="15" fillId="11" borderId="59" xfId="0" applyFont="1" applyFill="1" applyBorder="1" applyAlignment="1" applyProtection="1">
      <alignment horizontal="left" vertical="center" wrapText="1"/>
      <protection locked="0"/>
    </xf>
    <xf numFmtId="0" fontId="15" fillId="12" borderId="60" xfId="0" applyFont="1" applyFill="1" applyBorder="1" applyAlignment="1" applyProtection="1">
      <alignment horizontal="left" vertical="center" wrapText="1"/>
      <protection locked="0"/>
    </xf>
    <xf numFmtId="0" fontId="15" fillId="13" borderId="61" xfId="0" applyFont="1" applyFill="1" applyBorder="1" applyAlignment="1" applyProtection="1">
      <alignment horizontal="left" vertical="center" wrapText="1"/>
      <protection locked="0"/>
    </xf>
    <xf numFmtId="0" fontId="15" fillId="14" borderId="62" xfId="0" applyFont="1" applyFill="1" applyBorder="1" applyAlignment="1" applyProtection="1">
      <alignment horizontal="left" vertical="center" wrapText="1"/>
      <protection locked="0"/>
    </xf>
    <xf numFmtId="0" fontId="15" fillId="15" borderId="63" xfId="0" applyFont="1" applyFill="1" applyBorder="1" applyAlignment="1" applyProtection="1">
      <alignment horizontal="left" vertical="center" wrapText="1"/>
      <protection locked="0"/>
    </xf>
    <xf numFmtId="0" fontId="15" fillId="16" borderId="64" xfId="0" applyFont="1" applyFill="1" applyBorder="1" applyAlignment="1" applyProtection="1">
      <alignment horizontal="left" vertical="center" wrapText="1"/>
      <protection locked="0"/>
    </xf>
    <xf numFmtId="0" fontId="15" fillId="17" borderId="65" xfId="0" applyFont="1" applyFill="1" applyBorder="1" applyAlignment="1" applyProtection="1">
      <alignment horizontal="left" vertical="center" wrapText="1"/>
      <protection locked="0"/>
    </xf>
    <xf numFmtId="0" fontId="15" fillId="18" borderId="66" xfId="0" applyFont="1" applyFill="1" applyBorder="1" applyAlignment="1" applyProtection="1">
      <alignment horizontal="left" vertical="center" wrapText="1"/>
      <protection locked="0"/>
    </xf>
    <xf numFmtId="0" fontId="15" fillId="19" borderId="67" xfId="0" applyFont="1" applyFill="1" applyBorder="1" applyAlignment="1" applyProtection="1">
      <alignment horizontal="left" vertical="center" wrapText="1"/>
      <protection locked="0"/>
    </xf>
    <xf numFmtId="0" fontId="15" fillId="20" borderId="68" xfId="0" applyFont="1" applyFill="1" applyBorder="1" applyAlignment="1" applyProtection="1">
      <alignment horizontal="left" vertical="center" wrapText="1"/>
      <protection locked="0"/>
    </xf>
    <xf numFmtId="0" fontId="15" fillId="21" borderId="69" xfId="0" applyFont="1" applyFill="1" applyBorder="1" applyAlignment="1" applyProtection="1">
      <alignment horizontal="left" vertical="center" wrapText="1"/>
      <protection locked="0"/>
    </xf>
    <xf numFmtId="0" fontId="15" fillId="22" borderId="70" xfId="0" applyFont="1" applyFill="1" applyBorder="1" applyAlignment="1" applyProtection="1">
      <alignment horizontal="left" vertical="center" wrapText="1"/>
      <protection locked="0"/>
    </xf>
    <xf numFmtId="0" fontId="16" fillId="23" borderId="71" xfId="0" applyFont="1" applyFill="1" applyBorder="1" applyAlignment="1" applyProtection="1">
      <alignment horizontal="left" vertical="center" wrapText="1"/>
      <protection locked="0"/>
    </xf>
    <xf numFmtId="0" fontId="17" fillId="24" borderId="72" xfId="0" applyFont="1" applyFill="1" applyBorder="1" applyAlignment="1" applyProtection="1">
      <alignment horizontal="left" vertical="center" wrapText="1"/>
      <protection locked="0"/>
    </xf>
    <xf numFmtId="0" fontId="18" fillId="25" borderId="73" xfId="0" applyFont="1" applyFill="1" applyBorder="1" applyAlignment="1" applyProtection="1">
      <alignment horizontal="left" vertical="center" wrapText="1"/>
      <protection locked="0"/>
    </xf>
    <xf numFmtId="0" fontId="19" fillId="26" borderId="74" xfId="0" applyFont="1" applyFill="1" applyBorder="1" applyAlignment="1" applyProtection="1">
      <alignment horizontal="left" vertical="center" wrapText="1"/>
      <protection locked="0"/>
    </xf>
    <xf numFmtId="0" fontId="20" fillId="27" borderId="75" xfId="0" applyFont="1" applyFill="1" applyBorder="1" applyAlignment="1" applyProtection="1">
      <alignment horizontal="left" vertical="center" wrapText="1"/>
      <protection locked="0"/>
    </xf>
    <xf numFmtId="0" fontId="21" fillId="28" borderId="76" xfId="0" applyFont="1" applyFill="1" applyBorder="1" applyAlignment="1" applyProtection="1">
      <alignment horizontal="left" vertical="center" wrapText="1"/>
      <protection locked="0"/>
    </xf>
    <xf numFmtId="0" fontId="22" fillId="29" borderId="77" xfId="0" applyFont="1" applyFill="1" applyBorder="1" applyAlignment="1" applyProtection="1">
      <alignment horizontal="left" vertical="center" wrapText="1"/>
      <protection locked="0"/>
    </xf>
    <xf numFmtId="0" fontId="23" fillId="30" borderId="78" xfId="0" applyFont="1" applyFill="1" applyBorder="1" applyAlignment="1" applyProtection="1">
      <alignment horizontal="left" vertical="center" wrapText="1"/>
      <protection locked="0"/>
    </xf>
    <xf numFmtId="0" fontId="24" fillId="31" borderId="79" xfId="0" applyFont="1" applyFill="1" applyBorder="1" applyAlignment="1" applyProtection="1">
      <alignment horizontal="left" vertical="center" wrapText="1"/>
      <protection locked="0"/>
    </xf>
    <xf numFmtId="0" fontId="25" fillId="32" borderId="80" xfId="0" applyFont="1" applyFill="1" applyBorder="1" applyAlignment="1" applyProtection="1">
      <alignment horizontal="left" vertical="center" wrapText="1"/>
      <protection locked="0"/>
    </xf>
    <xf numFmtId="0" fontId="26" fillId="33" borderId="81" xfId="0" applyFont="1" applyFill="1" applyBorder="1" applyAlignment="1" applyProtection="1">
      <alignment horizontal="left" vertical="center" wrapText="1"/>
      <protection locked="0"/>
    </xf>
    <xf numFmtId="0" fontId="27" fillId="34" borderId="82" xfId="0" applyFont="1" applyFill="1" applyBorder="1" applyAlignment="1" applyProtection="1">
      <alignment horizontal="left" vertical="center" wrapText="1"/>
      <protection locked="0"/>
    </xf>
    <xf numFmtId="0" fontId="28" fillId="35" borderId="83" xfId="0" applyFont="1" applyFill="1" applyBorder="1" applyAlignment="1" applyProtection="1">
      <alignment horizontal="left" vertical="center" wrapText="1"/>
      <protection locked="0"/>
    </xf>
    <xf numFmtId="0" fontId="29" fillId="36" borderId="84" xfId="0" applyFont="1" applyFill="1" applyBorder="1" applyAlignment="1" applyProtection="1">
      <alignment horizontal="left" vertical="center" wrapText="1"/>
      <protection locked="0"/>
    </xf>
    <xf numFmtId="0" fontId="30" fillId="37" borderId="85" xfId="0" applyFont="1" applyFill="1" applyBorder="1" applyAlignment="1" applyProtection="1">
      <alignment horizontal="left" vertical="center" wrapText="1"/>
      <protection locked="0"/>
    </xf>
    <xf numFmtId="0" fontId="31" fillId="38" borderId="86" xfId="0" applyFont="1" applyFill="1" applyBorder="1" applyAlignment="1" applyProtection="1">
      <alignment horizontal="left" vertical="center" wrapText="1"/>
      <protection locked="0"/>
    </xf>
    <xf numFmtId="0" fontId="1" fillId="0" borderId="0" xfId="0" applyFont="1" applyAlignment="1">
      <alignment horizontal="center" vertical="center"/>
    </xf>
    <xf numFmtId="0" fontId="0" fillId="0" borderId="0" xfId="0" applyAlignment="1">
      <alignment horizontal="left" vertical="center"/>
    </xf>
    <xf numFmtId="166" fontId="13" fillId="0" borderId="3" xfId="0" applyNumberFormat="1" applyFont="1" applyBorder="1" applyAlignment="1">
      <alignment horizontal="center" vertical="center"/>
    </xf>
    <xf numFmtId="164" fontId="0" fillId="2" borderId="20" xfId="0" applyNumberFormat="1" applyFill="1" applyBorder="1" applyAlignment="1">
      <alignment horizontal="center" vertical="center"/>
    </xf>
    <xf numFmtId="0" fontId="0" fillId="2" borderId="20" xfId="0" applyFill="1" applyBorder="1" applyAlignment="1">
      <alignment horizontal="center" vertical="center"/>
    </xf>
    <xf numFmtId="0" fontId="0" fillId="2" borderId="3" xfId="0" applyFill="1" applyBorder="1" applyAlignment="1">
      <alignment horizontal="center"/>
    </xf>
    <xf numFmtId="1" fontId="9" fillId="5" borderId="1" xfId="0" applyNumberFormat="1" applyFont="1" applyFill="1" applyBorder="1" applyAlignment="1" applyProtection="1">
      <alignment horizontal="center" vertical="center"/>
      <protection locked="0"/>
    </xf>
    <xf numFmtId="0" fontId="1" fillId="0" borderId="0" xfId="0" applyFont="1" applyAlignment="1">
      <alignment horizontal="left" vertical="center"/>
    </xf>
    <xf numFmtId="0" fontId="0" fillId="5" borderId="1" xfId="0" applyFill="1" applyBorder="1" applyAlignment="1" applyProtection="1">
      <alignment horizontal="center" vertical="center"/>
      <protection locked="0"/>
    </xf>
    <xf numFmtId="0" fontId="1" fillId="2" borderId="13"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3" xfId="0" applyFont="1" applyFill="1" applyBorder="1" applyAlignment="1">
      <alignment horizontal="left"/>
    </xf>
    <xf numFmtId="0" fontId="1" fillId="2" borderId="14" xfId="0" applyFont="1" applyFill="1" applyBorder="1" applyAlignment="1">
      <alignment horizontal="left"/>
    </xf>
    <xf numFmtId="0" fontId="1" fillId="5" borderId="1" xfId="0" applyFont="1" applyFill="1" applyBorder="1" applyAlignment="1" applyProtection="1">
      <alignment horizontal="left" vertical="center"/>
      <protection locked="0"/>
    </xf>
    <xf numFmtId="0" fontId="1" fillId="0" borderId="29" xfId="0" applyFont="1" applyBorder="1" applyAlignment="1">
      <alignment horizontal="center"/>
    </xf>
    <xf numFmtId="0" fontId="1" fillId="0" borderId="22" xfId="0" applyFont="1" applyBorder="1" applyAlignment="1">
      <alignment horizontal="center" vertical="center"/>
    </xf>
    <xf numFmtId="0" fontId="1" fillId="0" borderId="6" xfId="0" applyFont="1" applyBorder="1" applyAlignment="1">
      <alignment horizontal="center" vertical="center"/>
    </xf>
    <xf numFmtId="0" fontId="1" fillId="0" borderId="45"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46" xfId="0" applyFont="1" applyBorder="1" applyAlignment="1">
      <alignment horizontal="center" vertical="center"/>
    </xf>
    <xf numFmtId="0" fontId="13" fillId="0" borderId="0" xfId="0" applyFont="1" applyAlignment="1">
      <alignment horizontal="center" textRotation="90"/>
    </xf>
    <xf numFmtId="0" fontId="1" fillId="0" borderId="49" xfId="0" applyFont="1" applyBorder="1" applyAlignment="1">
      <alignment horizontal="center" vertical="center"/>
    </xf>
    <xf numFmtId="0" fontId="1" fillId="0" borderId="50" xfId="0" applyFont="1" applyBorder="1" applyAlignment="1">
      <alignment horizontal="center" vertical="center"/>
    </xf>
    <xf numFmtId="0" fontId="1" fillId="0" borderId="0" xfId="0" applyFont="1" applyAlignment="1">
      <alignment horizontal="center"/>
    </xf>
  </cellXfs>
  <cellStyles count="1">
    <cellStyle name="Standard" xfId="0" builtinId="0"/>
  </cellStyles>
  <dxfs count="49">
    <dxf>
      <font>
        <color theme="0" tint="-0.14996795556505021"/>
      </font>
      <fill>
        <patternFill>
          <bgColor theme="0" tint="-0.14996795556505021"/>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32849-35B7-43A1-8884-015D1999C0D1}">
  <sheetPr codeName="Tabelle1">
    <outlinePr summaryBelow="0" summaryRight="0"/>
    <pageSetUpPr fitToPage="1"/>
  </sheetPr>
  <dimension ref="A1:BB76"/>
  <sheetViews>
    <sheetView tabSelected="1" zoomScale="120" zoomScaleNormal="120" zoomScalePageLayoutView="110" workbookViewId="0">
      <selection activeCell="BF31" sqref="BF31"/>
    </sheetView>
  </sheetViews>
  <sheetFormatPr baseColWidth="10" defaultColWidth="11.5" defaultRowHeight="15" outlineLevelCol="1" x14ac:dyDescent="0.2"/>
  <cols>
    <col min="2" max="32" width="4" customWidth="1"/>
    <col min="33" max="33" width="14" style="1" bestFit="1" customWidth="1"/>
    <col min="34" max="34" width="23" customWidth="1"/>
    <col min="35" max="35" width="11.5" collapsed="1"/>
    <col min="36" max="36" width="11.5" hidden="1" customWidth="1" outlineLevel="1"/>
    <col min="37" max="37" width="3" style="1" hidden="1" customWidth="1" outlineLevel="1"/>
    <col min="38" max="39" width="2" hidden="1" customWidth="1" outlineLevel="1"/>
    <col min="40" max="40" width="17.5" hidden="1" customWidth="1" outlineLevel="1"/>
    <col min="41" max="41" width="5.5" style="1" hidden="1" customWidth="1" outlineLevel="1"/>
    <col min="42" max="42" width="11.5" style="1" hidden="1" customWidth="1" outlineLevel="1"/>
    <col min="43" max="43" width="3" style="1" hidden="1" customWidth="1" outlineLevel="1"/>
    <col min="44" max="44" width="3.6640625" style="1" hidden="1" customWidth="1" outlineLevel="1"/>
    <col min="45" max="45" width="11.5" hidden="1" customWidth="1" outlineLevel="1"/>
    <col min="46" max="46" width="11.5" style="1" hidden="1" customWidth="1" outlineLevel="1"/>
    <col min="47" max="47" width="18.5" hidden="1" customWidth="1" outlineLevel="1"/>
    <col min="48" max="48" width="6" hidden="1" customWidth="1" outlineLevel="1"/>
    <col min="49" max="49" width="6.5" style="1" hidden="1" customWidth="1" outlineLevel="1"/>
    <col min="50" max="50" width="6.5" hidden="1" customWidth="1" outlineLevel="1"/>
    <col min="51" max="51" width="3.83203125" hidden="1" customWidth="1" outlineLevel="1"/>
    <col min="52" max="52" width="5.5" hidden="1" customWidth="1" outlineLevel="1"/>
    <col min="53" max="53" width="5.1640625" hidden="1" customWidth="1" outlineLevel="1"/>
    <col min="54" max="54" width="11.5" hidden="1" customWidth="1" outlineLevel="1"/>
  </cols>
  <sheetData>
    <row r="1" spans="1:52" s="2" customFormat="1" ht="16.25" customHeight="1" x14ac:dyDescent="0.2">
      <c r="A1" s="160" t="s">
        <v>122</v>
      </c>
      <c r="B1" s="160"/>
      <c r="C1" s="160"/>
      <c r="D1" s="160"/>
      <c r="E1" s="160"/>
      <c r="F1" s="160"/>
      <c r="G1" s="160"/>
      <c r="H1" s="160"/>
      <c r="I1" s="160"/>
      <c r="J1" s="160"/>
      <c r="K1" s="160"/>
      <c r="L1" s="160"/>
      <c r="M1" s="160"/>
      <c r="N1" s="160"/>
      <c r="O1" s="160"/>
      <c r="P1" s="160"/>
      <c r="Q1" s="160"/>
      <c r="R1" s="160"/>
      <c r="S1" s="160"/>
      <c r="T1" s="160"/>
      <c r="U1" s="160"/>
      <c r="V1" s="160"/>
      <c r="W1" s="160"/>
      <c r="X1" s="160"/>
      <c r="Y1" s="160"/>
      <c r="Z1" s="160"/>
      <c r="AA1" s="160"/>
      <c r="AB1" s="160"/>
      <c r="AC1" s="160"/>
      <c r="AD1" s="160"/>
      <c r="AE1" s="160"/>
      <c r="AF1" s="160"/>
      <c r="AG1" s="160"/>
      <c r="AH1" s="160"/>
      <c r="AI1" s="18"/>
      <c r="AJ1" s="18"/>
      <c r="AK1" s="62"/>
      <c r="AN1" s="18"/>
      <c r="AO1" s="62"/>
      <c r="AP1" s="62"/>
      <c r="AQ1" s="62"/>
      <c r="AR1" s="37"/>
      <c r="AT1" s="37"/>
      <c r="AW1" s="37"/>
    </row>
    <row r="2" spans="1:52" s="2" customFormat="1" x14ac:dyDescent="0.2">
      <c r="A2" s="160"/>
      <c r="B2" s="160"/>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K2" s="37"/>
      <c r="AO2" s="37"/>
      <c r="AP2" s="37"/>
      <c r="AQ2" s="37"/>
      <c r="AR2" s="37"/>
      <c r="AT2" s="37"/>
      <c r="AW2" s="37"/>
    </row>
    <row r="3" spans="1:52" s="2" customFormat="1" ht="25.25" customHeight="1" x14ac:dyDescent="0.2">
      <c r="A3" s="200" t="s">
        <v>123</v>
      </c>
      <c r="B3" s="200"/>
      <c r="C3" s="200"/>
      <c r="D3" s="200"/>
      <c r="E3" s="200"/>
      <c r="F3" s="200"/>
      <c r="G3" s="200"/>
      <c r="H3" s="200"/>
      <c r="I3" s="161"/>
      <c r="J3" s="162"/>
      <c r="K3" s="163"/>
      <c r="L3" s="164"/>
      <c r="M3" s="165"/>
      <c r="N3" s="166"/>
      <c r="O3" s="167"/>
      <c r="P3" s="168"/>
      <c r="Q3" s="169"/>
      <c r="R3" s="170"/>
      <c r="S3" s="171"/>
      <c r="T3" s="172"/>
      <c r="U3" s="173"/>
      <c r="V3" s="174"/>
      <c r="W3" s="175"/>
      <c r="X3" s="176"/>
      <c r="Y3" s="193" t="s">
        <v>0</v>
      </c>
      <c r="Z3" s="193"/>
      <c r="AA3" s="193"/>
      <c r="AB3" s="193"/>
      <c r="AC3" s="193"/>
      <c r="AD3" s="199">
        <v>2020</v>
      </c>
      <c r="AE3" s="199"/>
      <c r="AF3" s="199"/>
      <c r="AG3" s="199"/>
      <c r="AH3" s="17">
        <f>IF((MOD(YEAR(A10),4)=0)-(MOD(YEAR(A10),100)=0)+(MOD(YEAR(A10),400)=0)=0,0,1)</f>
        <v>1</v>
      </c>
      <c r="AK3" s="37"/>
      <c r="AO3" s="37"/>
      <c r="AP3" s="37"/>
      <c r="AQ3" s="37"/>
      <c r="AR3" s="37"/>
      <c r="AT3" s="37"/>
      <c r="AW3" s="37"/>
    </row>
    <row r="4" spans="1:52" s="2" customFormat="1" ht="25.25" customHeight="1" x14ac:dyDescent="0.2">
      <c r="A4" s="200" t="s">
        <v>124</v>
      </c>
      <c r="B4" s="200"/>
      <c r="C4" s="200"/>
      <c r="D4" s="200"/>
      <c r="E4" s="200"/>
      <c r="F4" s="200"/>
      <c r="G4" s="200"/>
      <c r="H4" s="200"/>
      <c r="I4" s="177"/>
      <c r="J4" s="178"/>
      <c r="K4" s="179"/>
      <c r="L4" s="180"/>
      <c r="M4" s="181"/>
      <c r="N4" s="182"/>
      <c r="O4" s="183"/>
      <c r="P4" s="184"/>
      <c r="Q4" s="185"/>
      <c r="R4" s="186"/>
      <c r="S4" s="187"/>
      <c r="T4" s="188"/>
      <c r="U4" s="189"/>
      <c r="V4" s="190"/>
      <c r="W4" s="191"/>
      <c r="X4" s="192"/>
      <c r="Y4" s="193" t="s">
        <v>1</v>
      </c>
      <c r="Z4" s="193"/>
      <c r="AA4" s="193"/>
      <c r="AB4" s="193"/>
      <c r="AC4" s="193"/>
      <c r="AD4" s="207" t="s">
        <v>16</v>
      </c>
      <c r="AE4" s="207"/>
      <c r="AF4" s="207"/>
      <c r="AG4" s="207"/>
      <c r="AH4" s="207"/>
      <c r="AK4" s="37"/>
      <c r="AO4" s="37"/>
      <c r="AP4" s="37"/>
      <c r="AQ4" s="37"/>
      <c r="AR4" s="37"/>
      <c r="AT4" s="37"/>
      <c r="AW4" s="37"/>
    </row>
    <row r="5" spans="1:52" s="2" customFormat="1" ht="25.25" customHeight="1" x14ac:dyDescent="0.2">
      <c r="A5" s="194" t="s">
        <v>3</v>
      </c>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K5" s="37"/>
      <c r="AO5" s="37"/>
      <c r="AP5" s="37"/>
      <c r="AQ5" s="37"/>
      <c r="AR5" s="69"/>
      <c r="AS5" s="35"/>
      <c r="AT5" s="37"/>
      <c r="AW5" s="37"/>
    </row>
    <row r="6" spans="1:52" s="2" customFormat="1" ht="25.25" customHeight="1" thickBot="1" x14ac:dyDescent="0.25">
      <c r="A6" s="36" t="s">
        <v>4</v>
      </c>
      <c r="B6" s="201"/>
      <c r="C6" s="201"/>
      <c r="D6" s="201"/>
      <c r="E6" s="201"/>
      <c r="F6" s="201"/>
      <c r="G6" s="201"/>
      <c r="H6" s="201"/>
      <c r="I6" s="201"/>
      <c r="J6" s="193" t="s">
        <v>5</v>
      </c>
      <c r="K6" s="193"/>
      <c r="L6" s="193"/>
      <c r="M6" s="201"/>
      <c r="N6" s="201"/>
      <c r="O6" s="201"/>
      <c r="P6" s="201"/>
      <c r="Q6" s="201"/>
      <c r="R6" s="201"/>
      <c r="S6" s="201"/>
      <c r="T6" s="201"/>
      <c r="U6" s="193" t="s">
        <v>125</v>
      </c>
      <c r="V6" s="193"/>
      <c r="W6" s="193"/>
      <c r="X6" s="193"/>
      <c r="Y6" s="193"/>
      <c r="Z6" s="193"/>
      <c r="AA6" s="193"/>
      <c r="AB6" s="193"/>
      <c r="AC6" s="193"/>
      <c r="AD6" s="201"/>
      <c r="AE6" s="201"/>
      <c r="AF6" s="201"/>
      <c r="AG6" s="201"/>
      <c r="AH6" s="201"/>
      <c r="AK6" s="37"/>
      <c r="AO6" s="37"/>
      <c r="AP6" s="37"/>
      <c r="AQ6" s="37"/>
      <c r="AR6" s="37"/>
      <c r="AT6" s="37"/>
      <c r="AW6" s="37"/>
    </row>
    <row r="7" spans="1:52" s="2" customFormat="1" x14ac:dyDescent="0.2">
      <c r="A7" s="202" t="s">
        <v>6</v>
      </c>
      <c r="B7" s="206" t="s">
        <v>7</v>
      </c>
      <c r="C7" s="206"/>
      <c r="D7" s="206"/>
      <c r="E7" s="206"/>
      <c r="F7" s="206"/>
      <c r="G7" s="206"/>
      <c r="H7" s="206"/>
      <c r="I7" s="206"/>
      <c r="J7" s="206"/>
      <c r="K7" s="206"/>
      <c r="L7" s="206"/>
      <c r="M7" s="206"/>
      <c r="N7" s="206"/>
      <c r="O7" s="206"/>
      <c r="P7" s="206"/>
      <c r="Q7" s="206"/>
      <c r="R7" s="206"/>
      <c r="S7" s="206"/>
      <c r="T7" s="206"/>
      <c r="U7" s="206"/>
      <c r="V7" s="206"/>
      <c r="W7" s="206"/>
      <c r="X7" s="206"/>
      <c r="Y7" s="206"/>
      <c r="Z7" s="206"/>
      <c r="AA7" s="206"/>
      <c r="AB7" s="206"/>
      <c r="AC7" s="206"/>
      <c r="AD7" s="206"/>
      <c r="AE7" s="206"/>
      <c r="AF7" s="206"/>
      <c r="AG7" s="14"/>
      <c r="AH7" s="5"/>
      <c r="AI7"/>
      <c r="AJ7"/>
      <c r="AK7" s="1"/>
      <c r="AN7"/>
      <c r="AO7" s="37"/>
      <c r="AP7" s="37"/>
      <c r="AQ7" s="37"/>
      <c r="AR7" s="37"/>
      <c r="AZ7" s="37" t="str">
        <f>VLOOKUP($AD$4,$AS$40:$AT$55,2)</f>
        <v>BY</v>
      </c>
    </row>
    <row r="8" spans="1:52" x14ac:dyDescent="0.2">
      <c r="A8" s="203"/>
      <c r="B8" s="205" t="s">
        <v>8</v>
      </c>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15"/>
      <c r="AH8" s="6"/>
      <c r="AK8" s="215" t="s">
        <v>9</v>
      </c>
      <c r="AL8" s="215" t="s">
        <v>10</v>
      </c>
      <c r="AM8" s="71"/>
    </row>
    <row r="9" spans="1:52" ht="16" thickBot="1" x14ac:dyDescent="0.25">
      <c r="A9" s="204"/>
      <c r="B9" s="3">
        <v>1</v>
      </c>
      <c r="C9" s="3">
        <v>2</v>
      </c>
      <c r="D9" s="3">
        <v>3</v>
      </c>
      <c r="E9" s="3">
        <v>4</v>
      </c>
      <c r="F9" s="3">
        <v>5</v>
      </c>
      <c r="G9" s="3">
        <v>6</v>
      </c>
      <c r="H9" s="3">
        <v>7</v>
      </c>
      <c r="I9" s="3">
        <v>8</v>
      </c>
      <c r="J9" s="3">
        <v>9</v>
      </c>
      <c r="K9" s="3">
        <v>10</v>
      </c>
      <c r="L9" s="3">
        <v>11</v>
      </c>
      <c r="M9" s="3">
        <v>12</v>
      </c>
      <c r="N9" s="3">
        <v>13</v>
      </c>
      <c r="O9" s="3">
        <v>14</v>
      </c>
      <c r="P9" s="3">
        <v>15</v>
      </c>
      <c r="Q9" s="3">
        <v>16</v>
      </c>
      <c r="R9" s="3">
        <v>17</v>
      </c>
      <c r="S9" s="3">
        <v>18</v>
      </c>
      <c r="T9" s="3">
        <v>19</v>
      </c>
      <c r="U9" s="3">
        <v>20</v>
      </c>
      <c r="V9" s="3">
        <v>21</v>
      </c>
      <c r="W9" s="3">
        <v>22</v>
      </c>
      <c r="X9" s="3">
        <v>23</v>
      </c>
      <c r="Y9" s="3">
        <v>24</v>
      </c>
      <c r="Z9" s="3">
        <v>25</v>
      </c>
      <c r="AA9" s="3">
        <v>26</v>
      </c>
      <c r="AB9" s="3">
        <v>27</v>
      </c>
      <c r="AC9" s="3">
        <v>28</v>
      </c>
      <c r="AD9" s="3">
        <v>29</v>
      </c>
      <c r="AE9" s="3">
        <v>30</v>
      </c>
      <c r="AF9" s="3">
        <v>31</v>
      </c>
      <c r="AG9" s="16" t="s">
        <v>11</v>
      </c>
      <c r="AH9" s="7" t="s">
        <v>12</v>
      </c>
      <c r="AK9" s="215"/>
      <c r="AL9" s="215"/>
      <c r="AM9" s="71"/>
      <c r="AT9" s="2"/>
    </row>
    <row r="10" spans="1:52" x14ac:dyDescent="0.2">
      <c r="A10" s="196">
        <f>DATE($AD$3,1,1)</f>
        <v>43831</v>
      </c>
      <c r="B10" s="52" t="str">
        <f t="shared" ref="B10:AF10" si="0">IFERROR(VLOOKUP(DATE($AD$3,MONTH($A10),B$9),$AT$13:$AV$29,3,FALSE),WEEKDAY(DATE($AD$3,MONTH($A10),B$9)))</f>
        <v>Neuj.</v>
      </c>
      <c r="C10" s="52">
        <f t="shared" si="0"/>
        <v>5</v>
      </c>
      <c r="D10" s="52">
        <f t="shared" si="0"/>
        <v>6</v>
      </c>
      <c r="E10" s="52">
        <f t="shared" si="0"/>
        <v>7</v>
      </c>
      <c r="F10" s="52">
        <f t="shared" si="0"/>
        <v>1</v>
      </c>
      <c r="G10" s="52" t="str">
        <f t="shared" si="0"/>
        <v>Hl.3K</v>
      </c>
      <c r="H10" s="52">
        <f t="shared" si="0"/>
        <v>3</v>
      </c>
      <c r="I10" s="52">
        <f t="shared" si="0"/>
        <v>4</v>
      </c>
      <c r="J10" s="52">
        <f t="shared" si="0"/>
        <v>5</v>
      </c>
      <c r="K10" s="52">
        <f t="shared" si="0"/>
        <v>6</v>
      </c>
      <c r="L10" s="52">
        <f t="shared" si="0"/>
        <v>7</v>
      </c>
      <c r="M10" s="52">
        <f t="shared" si="0"/>
        <v>1</v>
      </c>
      <c r="N10" s="52">
        <f t="shared" si="0"/>
        <v>2</v>
      </c>
      <c r="O10" s="52">
        <f t="shared" si="0"/>
        <v>3</v>
      </c>
      <c r="P10" s="52">
        <f t="shared" si="0"/>
        <v>4</v>
      </c>
      <c r="Q10" s="52">
        <f t="shared" si="0"/>
        <v>5</v>
      </c>
      <c r="R10" s="52">
        <f t="shared" si="0"/>
        <v>6</v>
      </c>
      <c r="S10" s="52">
        <f t="shared" si="0"/>
        <v>7</v>
      </c>
      <c r="T10" s="52">
        <f t="shared" si="0"/>
        <v>1</v>
      </c>
      <c r="U10" s="52">
        <f t="shared" si="0"/>
        <v>2</v>
      </c>
      <c r="V10" s="52">
        <f t="shared" si="0"/>
        <v>3</v>
      </c>
      <c r="W10" s="52">
        <f t="shared" si="0"/>
        <v>4</v>
      </c>
      <c r="X10" s="52">
        <f t="shared" si="0"/>
        <v>5</v>
      </c>
      <c r="Y10" s="52">
        <f t="shared" si="0"/>
        <v>6</v>
      </c>
      <c r="Z10" s="52">
        <f t="shared" si="0"/>
        <v>7</v>
      </c>
      <c r="AA10" s="52">
        <f t="shared" si="0"/>
        <v>1</v>
      </c>
      <c r="AB10" s="52">
        <f t="shared" si="0"/>
        <v>2</v>
      </c>
      <c r="AC10" s="52">
        <f t="shared" si="0"/>
        <v>3</v>
      </c>
      <c r="AD10" s="52">
        <f t="shared" si="0"/>
        <v>4</v>
      </c>
      <c r="AE10" s="52">
        <f t="shared" si="0"/>
        <v>5</v>
      </c>
      <c r="AF10" s="52">
        <f t="shared" si="0"/>
        <v>6</v>
      </c>
      <c r="AG10" s="195">
        <f>SUM(B11:AF11)</f>
        <v>0</v>
      </c>
      <c r="AH10" s="8"/>
      <c r="AJ10" s="77">
        <f>A10</f>
        <v>43831</v>
      </c>
      <c r="AK10" s="1">
        <f>COUNTIF($AQ$13:$AQ$29,MONTH(A10))</f>
        <v>2</v>
      </c>
      <c r="AL10">
        <f>IF(AG10=0,0,AK10)</f>
        <v>0</v>
      </c>
      <c r="AT10" s="37"/>
      <c r="AU10" s="47" t="s">
        <v>13</v>
      </c>
      <c r="AV10" s="59"/>
      <c r="AW10" s="208" t="s">
        <v>14</v>
      </c>
      <c r="AX10" s="208"/>
      <c r="AY10" s="60"/>
      <c r="AZ10" s="61">
        <f>$AD$3</f>
        <v>2020</v>
      </c>
    </row>
    <row r="11" spans="1:52" x14ac:dyDescent="0.2">
      <c r="A11" s="196"/>
      <c r="B11" s="51"/>
      <c r="C11" s="50"/>
      <c r="D11" s="50"/>
      <c r="E11" s="50"/>
      <c r="F11" s="50"/>
      <c r="G11" s="50"/>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195"/>
      <c r="AH11" s="9" t="s">
        <v>15</v>
      </c>
      <c r="AT11" s="37"/>
      <c r="AU11" s="43" t="s">
        <v>16</v>
      </c>
      <c r="AV11" s="1"/>
      <c r="AW11" s="218" t="s">
        <v>17</v>
      </c>
      <c r="AX11" s="218"/>
      <c r="AY11" s="1"/>
      <c r="AZ11" s="44"/>
    </row>
    <row r="12" spans="1:52" x14ac:dyDescent="0.2">
      <c r="A12" s="196">
        <f>EOMONTH(A10,0)+1</f>
        <v>43862</v>
      </c>
      <c r="B12" s="52">
        <f t="shared" ref="B12:AC12" si="1">IFERROR(VLOOKUP(DATE($AD$3,MONTH($A12),B$9),$AT$13:$AV$29,3,FALSE),WEEKDAY(DATE($AD$3,MONTH($A12),B$9)))</f>
        <v>7</v>
      </c>
      <c r="C12" s="52">
        <f t="shared" si="1"/>
        <v>1</v>
      </c>
      <c r="D12" s="52">
        <f t="shared" si="1"/>
        <v>2</v>
      </c>
      <c r="E12" s="52">
        <f t="shared" si="1"/>
        <v>3</v>
      </c>
      <c r="F12" s="52">
        <f t="shared" si="1"/>
        <v>4</v>
      </c>
      <c r="G12" s="52">
        <f t="shared" si="1"/>
        <v>5</v>
      </c>
      <c r="H12" s="52">
        <f t="shared" si="1"/>
        <v>6</v>
      </c>
      <c r="I12" s="52">
        <f t="shared" si="1"/>
        <v>7</v>
      </c>
      <c r="J12" s="52">
        <f t="shared" si="1"/>
        <v>1</v>
      </c>
      <c r="K12" s="52">
        <f t="shared" si="1"/>
        <v>2</v>
      </c>
      <c r="L12" s="52">
        <f t="shared" si="1"/>
        <v>3</v>
      </c>
      <c r="M12" s="52">
        <f t="shared" si="1"/>
        <v>4</v>
      </c>
      <c r="N12" s="52">
        <f t="shared" si="1"/>
        <v>5</v>
      </c>
      <c r="O12" s="52">
        <f t="shared" si="1"/>
        <v>6</v>
      </c>
      <c r="P12" s="52">
        <f t="shared" si="1"/>
        <v>7</v>
      </c>
      <c r="Q12" s="52">
        <f t="shared" si="1"/>
        <v>1</v>
      </c>
      <c r="R12" s="52">
        <f t="shared" si="1"/>
        <v>2</v>
      </c>
      <c r="S12" s="52">
        <f t="shared" si="1"/>
        <v>3</v>
      </c>
      <c r="T12" s="52">
        <f t="shared" si="1"/>
        <v>4</v>
      </c>
      <c r="U12" s="52">
        <f t="shared" si="1"/>
        <v>5</v>
      </c>
      <c r="V12" s="52">
        <f t="shared" si="1"/>
        <v>6</v>
      </c>
      <c r="W12" s="52">
        <f t="shared" si="1"/>
        <v>7</v>
      </c>
      <c r="X12" s="52">
        <f t="shared" si="1"/>
        <v>1</v>
      </c>
      <c r="Y12" s="52">
        <f t="shared" si="1"/>
        <v>2</v>
      </c>
      <c r="Z12" s="52">
        <f t="shared" si="1"/>
        <v>3</v>
      </c>
      <c r="AA12" s="52">
        <f t="shared" si="1"/>
        <v>4</v>
      </c>
      <c r="AB12" s="52">
        <f t="shared" si="1"/>
        <v>5</v>
      </c>
      <c r="AC12" s="52">
        <f t="shared" si="1"/>
        <v>6</v>
      </c>
      <c r="AD12" s="52">
        <f t="shared" ref="AD12" si="2">WEEKDAY(DATE($AD$3,MONTH($A12),AD$9))</f>
        <v>7</v>
      </c>
      <c r="AE12" s="198"/>
      <c r="AF12" s="198"/>
      <c r="AG12" s="195">
        <f>SUM(B13:AF13)</f>
        <v>0</v>
      </c>
      <c r="AH12" s="8"/>
      <c r="AJ12" s="77">
        <f>A12</f>
        <v>43862</v>
      </c>
      <c r="AK12" s="1">
        <f>COUNTIF($AQ$13:$AQ$29,MONTH(A12))</f>
        <v>0</v>
      </c>
      <c r="AL12">
        <f>IF(AG12=0,0,AK12)</f>
        <v>0</v>
      </c>
      <c r="AN12" s="65" t="s">
        <v>13</v>
      </c>
      <c r="AO12" s="66" t="s">
        <v>18</v>
      </c>
      <c r="AP12" s="66" t="s">
        <v>17</v>
      </c>
      <c r="AQ12" s="1" t="s">
        <v>19</v>
      </c>
      <c r="AR12" s="1" t="s">
        <v>20</v>
      </c>
      <c r="AT12" s="37"/>
      <c r="AU12" s="56"/>
      <c r="AV12" s="57"/>
      <c r="AW12" s="57" t="s">
        <v>6</v>
      </c>
      <c r="AX12" s="57" t="s">
        <v>21</v>
      </c>
      <c r="AY12" s="57" t="s">
        <v>20</v>
      </c>
      <c r="AZ12" s="58" t="s">
        <v>22</v>
      </c>
    </row>
    <row r="13" spans="1:52" x14ac:dyDescent="0.2">
      <c r="A13" s="197"/>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198"/>
      <c r="AF13" s="198"/>
      <c r="AG13" s="195"/>
      <c r="AH13" s="9" t="s">
        <v>15</v>
      </c>
      <c r="AN13" s="63" t="str">
        <f t="shared" ref="AN13:AN27" si="3">AU13</f>
        <v>Neujahr</v>
      </c>
      <c r="AO13" s="64" t="str">
        <f t="shared" ref="AO13:AO27" si="4">AV13</f>
        <v>Neuj.</v>
      </c>
      <c r="AP13" s="67">
        <f t="shared" ref="AP13:AP27" si="5">AT13</f>
        <v>43831</v>
      </c>
      <c r="AQ13" s="1">
        <f t="shared" ref="AQ13:AQ23" si="6">IF(AR13&lt;6,MONTH(AP13),0)</f>
        <v>1</v>
      </c>
      <c r="AR13" s="1">
        <f>WEEKDAY(AP13,2)</f>
        <v>3</v>
      </c>
      <c r="AT13" s="53">
        <f>DATE($AZ$10,AW13,AX13)</f>
        <v>43831</v>
      </c>
      <c r="AU13" s="48" t="s">
        <v>23</v>
      </c>
      <c r="AV13" s="40" t="s">
        <v>24</v>
      </c>
      <c r="AW13" s="40">
        <v>1</v>
      </c>
      <c r="AX13" s="40">
        <v>1</v>
      </c>
      <c r="AY13" s="45">
        <f t="shared" ref="AY13:AY27" si="7">WEEKDAY(DATE($AZ$10,AW13,AX13))</f>
        <v>4</v>
      </c>
      <c r="AZ13" s="55">
        <f>IF(WEEKDAY(DATE($AZ$10,AW13,AX13))=1,0,IF(WEEKDAY(DATE($AZ$10,AW13,AX13))=7,0,1))</f>
        <v>1</v>
      </c>
    </row>
    <row r="14" spans="1:52" x14ac:dyDescent="0.2">
      <c r="A14" s="196">
        <f>EOMONTH(A12,0)+1</f>
        <v>43891</v>
      </c>
      <c r="B14" s="52">
        <f t="shared" ref="B14:AF14" si="8">IFERROR(VLOOKUP(DATE($AD$3,MONTH($A14),B$9),$AT$13:$AV$29,3,FALSE),WEEKDAY(DATE($AD$3,MONTH($A14),B$9)))</f>
        <v>1</v>
      </c>
      <c r="C14" s="52">
        <f t="shared" si="8"/>
        <v>2</v>
      </c>
      <c r="D14" s="52">
        <f t="shared" si="8"/>
        <v>3</v>
      </c>
      <c r="E14" s="52">
        <f t="shared" si="8"/>
        <v>4</v>
      </c>
      <c r="F14" s="52">
        <f t="shared" si="8"/>
        <v>5</v>
      </c>
      <c r="G14" s="52">
        <f t="shared" si="8"/>
        <v>6</v>
      </c>
      <c r="H14" s="52">
        <f t="shared" si="8"/>
        <v>7</v>
      </c>
      <c r="I14" s="52">
        <f t="shared" si="8"/>
        <v>1</v>
      </c>
      <c r="J14" s="52">
        <f t="shared" si="8"/>
        <v>2</v>
      </c>
      <c r="K14" s="52">
        <f t="shared" si="8"/>
        <v>3</v>
      </c>
      <c r="L14" s="52">
        <f t="shared" si="8"/>
        <v>4</v>
      </c>
      <c r="M14" s="52">
        <f t="shared" si="8"/>
        <v>5</v>
      </c>
      <c r="N14" s="52">
        <f t="shared" si="8"/>
        <v>6</v>
      </c>
      <c r="O14" s="52">
        <f t="shared" si="8"/>
        <v>7</v>
      </c>
      <c r="P14" s="52">
        <f t="shared" si="8"/>
        <v>1</v>
      </c>
      <c r="Q14" s="52">
        <f t="shared" si="8"/>
        <v>2</v>
      </c>
      <c r="R14" s="52">
        <f t="shared" si="8"/>
        <v>3</v>
      </c>
      <c r="S14" s="52">
        <f t="shared" si="8"/>
        <v>4</v>
      </c>
      <c r="T14" s="52">
        <f t="shared" si="8"/>
        <v>5</v>
      </c>
      <c r="U14" s="52">
        <f t="shared" si="8"/>
        <v>6</v>
      </c>
      <c r="V14" s="52">
        <f t="shared" si="8"/>
        <v>7</v>
      </c>
      <c r="W14" s="52">
        <f t="shared" si="8"/>
        <v>1</v>
      </c>
      <c r="X14" s="52">
        <f t="shared" si="8"/>
        <v>2</v>
      </c>
      <c r="Y14" s="52">
        <f t="shared" si="8"/>
        <v>3</v>
      </c>
      <c r="Z14" s="52">
        <f t="shared" si="8"/>
        <v>4</v>
      </c>
      <c r="AA14" s="52">
        <f t="shared" si="8"/>
        <v>5</v>
      </c>
      <c r="AB14" s="52">
        <f t="shared" si="8"/>
        <v>6</v>
      </c>
      <c r="AC14" s="52">
        <f t="shared" si="8"/>
        <v>7</v>
      </c>
      <c r="AD14" s="52">
        <f t="shared" si="8"/>
        <v>1</v>
      </c>
      <c r="AE14" s="52">
        <f t="shared" si="8"/>
        <v>2</v>
      </c>
      <c r="AF14" s="52">
        <f t="shared" si="8"/>
        <v>3</v>
      </c>
      <c r="AG14" s="195">
        <f t="shared" ref="AG14" si="9">SUM(B15:AF15)</f>
        <v>0</v>
      </c>
      <c r="AH14" s="8"/>
      <c r="AJ14" s="77">
        <f>A14</f>
        <v>43891</v>
      </c>
      <c r="AK14" s="1">
        <f>COUNTIF($AQ$13:$AQ$29,MONTH(A14))</f>
        <v>0</v>
      </c>
      <c r="AL14">
        <f>IF(AG14=0,0,AK14)</f>
        <v>0</v>
      </c>
      <c r="AN14" s="63" t="str">
        <f t="shared" si="3"/>
        <v>Hl. 3 Könige</v>
      </c>
      <c r="AO14" s="64" t="str">
        <f t="shared" si="4"/>
        <v>Hl.3K</v>
      </c>
      <c r="AP14" s="67">
        <f>AT14</f>
        <v>43836</v>
      </c>
      <c r="AQ14" s="1">
        <f t="shared" si="6"/>
        <v>1</v>
      </c>
      <c r="AR14" s="1">
        <f t="shared" ref="AR14:AR27" si="10">WEEKDAY(AP14,2)</f>
        <v>1</v>
      </c>
      <c r="AT14" s="53">
        <f>DATE($AZ$10,AW14,AX14)</f>
        <v>43836</v>
      </c>
      <c r="AU14" s="49" t="s">
        <v>25</v>
      </c>
      <c r="AV14" s="41" t="str">
        <f>IF(AZ14=0,AY14,"Hl.3K")</f>
        <v>Hl.3K</v>
      </c>
      <c r="AW14" s="1">
        <v>1</v>
      </c>
      <c r="AX14" s="1">
        <v>6</v>
      </c>
      <c r="AY14" s="46">
        <f t="shared" si="7"/>
        <v>2</v>
      </c>
      <c r="AZ14" s="44">
        <f>IF(VLOOKUP($AZ$7,$AT$40:$BA$55,2,FALSE)=1,IF(WEEKDAY(DATE($AZ$10,AW14,AX14))=1,0,IF(WEEKDAY(DATE($AZ$10,AW14,AX14))=7,0,1)),0)</f>
        <v>1</v>
      </c>
    </row>
    <row r="15" spans="1:52" x14ac:dyDescent="0.2">
      <c r="A15" s="197"/>
      <c r="B15" s="50"/>
      <c r="C15" s="50"/>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195"/>
      <c r="AH15" s="9" t="s">
        <v>15</v>
      </c>
      <c r="AN15" s="63" t="str">
        <f t="shared" si="3"/>
        <v>Internat. Frauentag</v>
      </c>
      <c r="AO15" s="78">
        <f>AV15</f>
        <v>1</v>
      </c>
      <c r="AP15" s="67">
        <f>AT15</f>
        <v>43898</v>
      </c>
      <c r="AQ15" s="1">
        <f t="shared" si="6"/>
        <v>0</v>
      </c>
      <c r="AR15" s="1">
        <f t="shared" si="10"/>
        <v>7</v>
      </c>
      <c r="AT15" s="53">
        <f>DATE($AZ$10,AW15,AX15)</f>
        <v>43898</v>
      </c>
      <c r="AU15" s="49" t="s">
        <v>26</v>
      </c>
      <c r="AV15" s="41">
        <f>IF(AZ15=0,AY15,"IFT")</f>
        <v>1</v>
      </c>
      <c r="AW15" s="1">
        <v>3</v>
      </c>
      <c r="AX15" s="1">
        <v>8</v>
      </c>
      <c r="AY15" s="46">
        <f t="shared" si="7"/>
        <v>1</v>
      </c>
      <c r="AZ15" s="44">
        <f>IF(VLOOKUP($AZ$7,$AT$40:$BA$55,3,FALSE)=1,IF(WEEKDAY(DATE($AZ$10,AW15,AX15))=1,0,IF(WEEKDAY(DATE($AZ$10,AW15,AX15))=7,0,1)),0)</f>
        <v>0</v>
      </c>
    </row>
    <row r="16" spans="1:52" x14ac:dyDescent="0.2">
      <c r="A16" s="196">
        <f t="shared" ref="A16" si="11">EOMONTH(A14,0)+1</f>
        <v>43922</v>
      </c>
      <c r="B16" s="52">
        <f t="shared" ref="B16:AE16" si="12">IFERROR(VLOOKUP(DATE($AD$3,MONTH($A16),B$9),$AT$13:$AV$29,3,FALSE),WEEKDAY(DATE($AD$3,MONTH($A16),B$9)))</f>
        <v>4</v>
      </c>
      <c r="C16" s="52">
        <f t="shared" si="12"/>
        <v>5</v>
      </c>
      <c r="D16" s="52">
        <f t="shared" si="12"/>
        <v>6</v>
      </c>
      <c r="E16" s="52">
        <f t="shared" si="12"/>
        <v>7</v>
      </c>
      <c r="F16" s="52">
        <f t="shared" si="12"/>
        <v>1</v>
      </c>
      <c r="G16" s="52">
        <f t="shared" si="12"/>
        <v>2</v>
      </c>
      <c r="H16" s="52">
        <f t="shared" si="12"/>
        <v>3</v>
      </c>
      <c r="I16" s="52">
        <f t="shared" si="12"/>
        <v>4</v>
      </c>
      <c r="J16" s="52">
        <f t="shared" si="12"/>
        <v>5</v>
      </c>
      <c r="K16" s="52" t="str">
        <f t="shared" si="12"/>
        <v>Karfr.</v>
      </c>
      <c r="L16" s="52">
        <f t="shared" si="12"/>
        <v>7</v>
      </c>
      <c r="M16" s="52" t="str">
        <f t="shared" si="12"/>
        <v>OS</v>
      </c>
      <c r="N16" s="52" t="str">
        <f t="shared" si="12"/>
        <v>OM</v>
      </c>
      <c r="O16" s="52">
        <f t="shared" si="12"/>
        <v>3</v>
      </c>
      <c r="P16" s="52">
        <f t="shared" si="12"/>
        <v>4</v>
      </c>
      <c r="Q16" s="52">
        <f t="shared" si="12"/>
        <v>5</v>
      </c>
      <c r="R16" s="52">
        <f t="shared" si="12"/>
        <v>6</v>
      </c>
      <c r="S16" s="52">
        <f t="shared" si="12"/>
        <v>7</v>
      </c>
      <c r="T16" s="52">
        <f t="shared" si="12"/>
        <v>1</v>
      </c>
      <c r="U16" s="52">
        <f t="shared" si="12"/>
        <v>2</v>
      </c>
      <c r="V16" s="52">
        <f t="shared" si="12"/>
        <v>3</v>
      </c>
      <c r="W16" s="52">
        <f t="shared" si="12"/>
        <v>4</v>
      </c>
      <c r="X16" s="52">
        <f t="shared" si="12"/>
        <v>5</v>
      </c>
      <c r="Y16" s="52">
        <f t="shared" si="12"/>
        <v>6</v>
      </c>
      <c r="Z16" s="52">
        <f t="shared" si="12"/>
        <v>7</v>
      </c>
      <c r="AA16" s="52">
        <f t="shared" si="12"/>
        <v>1</v>
      </c>
      <c r="AB16" s="52">
        <f t="shared" si="12"/>
        <v>2</v>
      </c>
      <c r="AC16" s="52">
        <f t="shared" si="12"/>
        <v>3</v>
      </c>
      <c r="AD16" s="52">
        <f t="shared" si="12"/>
        <v>4</v>
      </c>
      <c r="AE16" s="52">
        <f t="shared" si="12"/>
        <v>5</v>
      </c>
      <c r="AF16" s="198"/>
      <c r="AG16" s="195">
        <f t="shared" ref="AG16" si="13">SUM(B17:AF17)</f>
        <v>0</v>
      </c>
      <c r="AH16" s="8"/>
      <c r="AJ16" s="77">
        <f>A16</f>
        <v>43922</v>
      </c>
      <c r="AK16" s="1">
        <f>COUNTIF($AQ$13:$AQ$29,MONTH(A16))</f>
        <v>2</v>
      </c>
      <c r="AL16">
        <f>IF(AG16=0,0,AK16)</f>
        <v>0</v>
      </c>
      <c r="AN16" s="63" t="str">
        <f t="shared" si="3"/>
        <v>Karfreitag</v>
      </c>
      <c r="AO16" s="64" t="str">
        <f t="shared" si="4"/>
        <v>Karfr.</v>
      </c>
      <c r="AP16" s="67">
        <f t="shared" si="5"/>
        <v>43931</v>
      </c>
      <c r="AQ16" s="1">
        <f t="shared" si="6"/>
        <v>4</v>
      </c>
      <c r="AR16" s="1">
        <f t="shared" si="10"/>
        <v>5</v>
      </c>
      <c r="AT16" s="54">
        <f>DATE($AZ$10,AW16,AX16)</f>
        <v>43931</v>
      </c>
      <c r="AU16" s="49" t="s">
        <v>27</v>
      </c>
      <c r="AV16" s="1" t="s">
        <v>28</v>
      </c>
      <c r="AW16" s="1">
        <f>AW17</f>
        <v>4</v>
      </c>
      <c r="AX16" s="1">
        <f>AX17-2</f>
        <v>10</v>
      </c>
      <c r="AY16" s="46">
        <f t="shared" si="7"/>
        <v>6</v>
      </c>
      <c r="AZ16" s="44">
        <f>IF(WEEKDAY(DATE($AZ$10,AW16,AX16))=1,0,IF(WEEKDAY(DATE($AZ$10,AW16,AX16))=7,0,1))</f>
        <v>1</v>
      </c>
    </row>
    <row r="17" spans="1:52" x14ac:dyDescent="0.2">
      <c r="A17" s="197"/>
      <c r="B17" s="50"/>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198"/>
      <c r="AG17" s="195"/>
      <c r="AH17" s="9" t="s">
        <v>15</v>
      </c>
      <c r="AN17" s="63" t="str">
        <f t="shared" si="3"/>
        <v>Ostersonntag</v>
      </c>
      <c r="AO17" s="64" t="str">
        <f t="shared" si="4"/>
        <v>OS</v>
      </c>
      <c r="AP17" s="67">
        <f t="shared" si="5"/>
        <v>43933</v>
      </c>
      <c r="AQ17" s="1">
        <f t="shared" si="6"/>
        <v>0</v>
      </c>
      <c r="AR17" s="1">
        <f t="shared" si="10"/>
        <v>7</v>
      </c>
      <c r="AT17" s="53">
        <f>DATE(AZ10,3,28)+MOD(24-MOD(AZ10,19)*10.63,29)-MOD(TRUNC(AZ10*5/4)+MOD(24-MOD(AZ10,19)*10.63,29)+1,7)</f>
        <v>43933</v>
      </c>
      <c r="AU17" s="49" t="s">
        <v>29</v>
      </c>
      <c r="AV17" s="1" t="s">
        <v>30</v>
      </c>
      <c r="AW17" s="1">
        <f>MONTH(AT17)</f>
        <v>4</v>
      </c>
      <c r="AX17" s="1">
        <f>DAY(AT17)</f>
        <v>12</v>
      </c>
      <c r="AY17" s="46">
        <f t="shared" si="7"/>
        <v>1</v>
      </c>
      <c r="AZ17" s="44">
        <f>IF(WEEKDAY(DATE($AZ$10,AW17,AX17))=1,0,IF(WEEKDAY(DATE($AZ$10,AW17,AX17))=7,0,1))</f>
        <v>0</v>
      </c>
    </row>
    <row r="18" spans="1:52" x14ac:dyDescent="0.2">
      <c r="A18" s="196">
        <f t="shared" ref="A18" si="14">EOMONTH(A16,0)+1</f>
        <v>43952</v>
      </c>
      <c r="B18" s="52" t="str">
        <f t="shared" ref="B18:AF18" si="15">IFERROR(VLOOKUP(DATE($AD$3,MONTH($A18),B$9),$AT$13:$AV$29,3,FALSE),WEEKDAY(DATE($AD$3,MONTH($A18),B$9)))</f>
        <v>TdA</v>
      </c>
      <c r="C18" s="52">
        <f t="shared" si="15"/>
        <v>7</v>
      </c>
      <c r="D18" s="52">
        <f t="shared" si="15"/>
        <v>1</v>
      </c>
      <c r="E18" s="52">
        <f t="shared" si="15"/>
        <v>2</v>
      </c>
      <c r="F18" s="52">
        <f t="shared" si="15"/>
        <v>3</v>
      </c>
      <c r="G18" s="52">
        <f t="shared" si="15"/>
        <v>4</v>
      </c>
      <c r="H18" s="52">
        <f t="shared" si="15"/>
        <v>5</v>
      </c>
      <c r="I18" s="52">
        <f t="shared" si="15"/>
        <v>6</v>
      </c>
      <c r="J18" s="52">
        <f t="shared" si="15"/>
        <v>7</v>
      </c>
      <c r="K18" s="52">
        <f t="shared" si="15"/>
        <v>1</v>
      </c>
      <c r="L18" s="52">
        <f t="shared" si="15"/>
        <v>2</v>
      </c>
      <c r="M18" s="52">
        <f t="shared" si="15"/>
        <v>3</v>
      </c>
      <c r="N18" s="52">
        <f t="shared" si="15"/>
        <v>4</v>
      </c>
      <c r="O18" s="52">
        <f t="shared" si="15"/>
        <v>5</v>
      </c>
      <c r="P18" s="52">
        <f t="shared" si="15"/>
        <v>6</v>
      </c>
      <c r="Q18" s="52">
        <f t="shared" si="15"/>
        <v>7</v>
      </c>
      <c r="R18" s="52">
        <f t="shared" si="15"/>
        <v>1</v>
      </c>
      <c r="S18" s="52">
        <f t="shared" si="15"/>
        <v>2</v>
      </c>
      <c r="T18" s="52">
        <f t="shared" si="15"/>
        <v>3</v>
      </c>
      <c r="U18" s="52">
        <f t="shared" si="15"/>
        <v>4</v>
      </c>
      <c r="V18" s="52" t="str">
        <f t="shared" si="15"/>
        <v>Chr.HF</v>
      </c>
      <c r="W18" s="52">
        <f t="shared" si="15"/>
        <v>6</v>
      </c>
      <c r="X18" s="52">
        <f t="shared" si="15"/>
        <v>7</v>
      </c>
      <c r="Y18" s="52">
        <f t="shared" si="15"/>
        <v>1</v>
      </c>
      <c r="Z18" s="52">
        <f t="shared" si="15"/>
        <v>2</v>
      </c>
      <c r="AA18" s="52">
        <f t="shared" si="15"/>
        <v>3</v>
      </c>
      <c r="AB18" s="52">
        <f t="shared" si="15"/>
        <v>4</v>
      </c>
      <c r="AC18" s="52">
        <f t="shared" si="15"/>
        <v>5</v>
      </c>
      <c r="AD18" s="52">
        <f t="shared" si="15"/>
        <v>6</v>
      </c>
      <c r="AE18" s="52">
        <f t="shared" si="15"/>
        <v>7</v>
      </c>
      <c r="AF18" s="52" t="str">
        <f t="shared" si="15"/>
        <v>PS</v>
      </c>
      <c r="AG18" s="195">
        <f t="shared" ref="AG18" si="16">SUM(B19:AF19)</f>
        <v>0</v>
      </c>
      <c r="AH18" s="8"/>
      <c r="AJ18" s="77">
        <f>A18</f>
        <v>43952</v>
      </c>
      <c r="AK18" s="1">
        <f>COUNTIF($AQ$13:$AQ$29,MONTH(A18))</f>
        <v>2</v>
      </c>
      <c r="AL18">
        <f>IF(AG18=0,0,AK18)</f>
        <v>0</v>
      </c>
      <c r="AN18" s="63" t="str">
        <f t="shared" si="3"/>
        <v>Ostermontag</v>
      </c>
      <c r="AO18" s="64" t="str">
        <f t="shared" si="4"/>
        <v>OM</v>
      </c>
      <c r="AP18" s="67">
        <f t="shared" si="5"/>
        <v>43934</v>
      </c>
      <c r="AQ18" s="1">
        <f t="shared" si="6"/>
        <v>4</v>
      </c>
      <c r="AR18" s="1">
        <f t="shared" si="10"/>
        <v>1</v>
      </c>
      <c r="AT18" s="54">
        <f>AT17+1</f>
        <v>43934</v>
      </c>
      <c r="AU18" s="49" t="s">
        <v>31</v>
      </c>
      <c r="AV18" s="1" t="s">
        <v>32</v>
      </c>
      <c r="AW18" s="1">
        <f>AW17</f>
        <v>4</v>
      </c>
      <c r="AX18" s="1">
        <f>AX17+1</f>
        <v>13</v>
      </c>
      <c r="AY18" s="46">
        <f t="shared" si="7"/>
        <v>2</v>
      </c>
      <c r="AZ18" s="44">
        <f>IF(WEEKDAY(DATE($AZ$10,AW18,AX18))=1,0,IF(WEEKDAY(DATE($AZ$10,AW18,AX18))=7,0,1))</f>
        <v>1</v>
      </c>
    </row>
    <row r="19" spans="1:52" x14ac:dyDescent="0.2">
      <c r="A19" s="197"/>
      <c r="B19" s="50"/>
      <c r="C19" s="50"/>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195"/>
      <c r="AH19" s="9" t="s">
        <v>15</v>
      </c>
      <c r="AN19" s="63" t="str">
        <f t="shared" si="3"/>
        <v>Tag der Arbeit</v>
      </c>
      <c r="AO19" s="64" t="str">
        <f t="shared" si="4"/>
        <v>TdA</v>
      </c>
      <c r="AP19" s="67">
        <f t="shared" si="5"/>
        <v>43952</v>
      </c>
      <c r="AQ19" s="1">
        <f t="shared" si="6"/>
        <v>5</v>
      </c>
      <c r="AR19" s="1">
        <f t="shared" si="10"/>
        <v>5</v>
      </c>
      <c r="AT19" s="53">
        <f>DATE($AZ$10,AW19,AX19)</f>
        <v>43952</v>
      </c>
      <c r="AU19" s="49" t="s">
        <v>33</v>
      </c>
      <c r="AV19" s="1" t="s">
        <v>34</v>
      </c>
      <c r="AW19" s="1">
        <v>5</v>
      </c>
      <c r="AX19" s="1">
        <v>1</v>
      </c>
      <c r="AY19" s="46">
        <f t="shared" si="7"/>
        <v>6</v>
      </c>
      <c r="AZ19" s="44">
        <f t="shared" ref="AZ19:AZ25" si="17">IF(WEEKDAY(DATE($AZ$10,AW19,AX19))=1,0,IF(WEEKDAY(DATE($AZ$10,AW19,AX19))=7,0,1))</f>
        <v>1</v>
      </c>
    </row>
    <row r="20" spans="1:52" x14ac:dyDescent="0.2">
      <c r="A20" s="196">
        <f t="shared" ref="A20" si="18">EOMONTH(A18,0)+1</f>
        <v>43983</v>
      </c>
      <c r="B20" s="52" t="str">
        <f t="shared" ref="B20:AE20" si="19">IFERROR(VLOOKUP(DATE($AD$3,MONTH($A20),B$9),$AT$13:$AV$29,3,FALSE),WEEKDAY(DATE($AD$3,MONTH($A20),B$9)))</f>
        <v>PM</v>
      </c>
      <c r="C20" s="52">
        <f t="shared" si="19"/>
        <v>3</v>
      </c>
      <c r="D20" s="52">
        <f t="shared" si="19"/>
        <v>4</v>
      </c>
      <c r="E20" s="52">
        <f t="shared" si="19"/>
        <v>5</v>
      </c>
      <c r="F20" s="52">
        <f t="shared" si="19"/>
        <v>6</v>
      </c>
      <c r="G20" s="52">
        <f t="shared" si="19"/>
        <v>7</v>
      </c>
      <c r="H20" s="52">
        <f t="shared" si="19"/>
        <v>1</v>
      </c>
      <c r="I20" s="52">
        <f t="shared" si="19"/>
        <v>2</v>
      </c>
      <c r="J20" s="52">
        <f t="shared" si="19"/>
        <v>3</v>
      </c>
      <c r="K20" s="52">
        <f t="shared" si="19"/>
        <v>4</v>
      </c>
      <c r="L20" s="52" t="str">
        <f t="shared" si="19"/>
        <v>Fronl.</v>
      </c>
      <c r="M20" s="52">
        <f t="shared" si="19"/>
        <v>6</v>
      </c>
      <c r="N20" s="52">
        <f t="shared" si="19"/>
        <v>7</v>
      </c>
      <c r="O20" s="52">
        <f t="shared" si="19"/>
        <v>1</v>
      </c>
      <c r="P20" s="52">
        <f t="shared" si="19"/>
        <v>2</v>
      </c>
      <c r="Q20" s="52">
        <f t="shared" si="19"/>
        <v>3</v>
      </c>
      <c r="R20" s="52">
        <f t="shared" si="19"/>
        <v>4</v>
      </c>
      <c r="S20" s="52">
        <f t="shared" si="19"/>
        <v>5</v>
      </c>
      <c r="T20" s="52">
        <f t="shared" si="19"/>
        <v>6</v>
      </c>
      <c r="U20" s="52">
        <f t="shared" si="19"/>
        <v>7</v>
      </c>
      <c r="V20" s="52">
        <f t="shared" si="19"/>
        <v>1</v>
      </c>
      <c r="W20" s="52">
        <f t="shared" si="19"/>
        <v>2</v>
      </c>
      <c r="X20" s="52">
        <f t="shared" si="19"/>
        <v>3</v>
      </c>
      <c r="Y20" s="52">
        <f t="shared" si="19"/>
        <v>4</v>
      </c>
      <c r="Z20" s="52">
        <f t="shared" si="19"/>
        <v>5</v>
      </c>
      <c r="AA20" s="52">
        <f t="shared" si="19"/>
        <v>6</v>
      </c>
      <c r="AB20" s="52">
        <f t="shared" si="19"/>
        <v>7</v>
      </c>
      <c r="AC20" s="52">
        <f t="shared" si="19"/>
        <v>1</v>
      </c>
      <c r="AD20" s="52">
        <f t="shared" si="19"/>
        <v>2</v>
      </c>
      <c r="AE20" s="52">
        <f t="shared" si="19"/>
        <v>3</v>
      </c>
      <c r="AF20" s="198"/>
      <c r="AG20" s="195">
        <f t="shared" ref="AG20" si="20">SUM(B21:AF21)</f>
        <v>0</v>
      </c>
      <c r="AH20" s="8"/>
      <c r="AI20" s="39"/>
      <c r="AJ20" s="77">
        <f>A20</f>
        <v>43983</v>
      </c>
      <c r="AK20" s="1">
        <f>COUNTIF($AQ$13:$AQ$29,MONTH(A20))</f>
        <v>2</v>
      </c>
      <c r="AL20">
        <f>IF(AG20=0,0,AK20)</f>
        <v>0</v>
      </c>
      <c r="AN20" s="63" t="str">
        <f t="shared" si="3"/>
        <v>Christi Himmelfahrt</v>
      </c>
      <c r="AO20" s="64" t="str">
        <f t="shared" si="4"/>
        <v>Chr.HF</v>
      </c>
      <c r="AP20" s="67">
        <f t="shared" si="5"/>
        <v>43972</v>
      </c>
      <c r="AQ20" s="1">
        <f t="shared" si="6"/>
        <v>5</v>
      </c>
      <c r="AR20" s="1">
        <f t="shared" si="10"/>
        <v>4</v>
      </c>
      <c r="AT20" s="54">
        <f>$AT$17+39</f>
        <v>43972</v>
      </c>
      <c r="AU20" s="49" t="s">
        <v>35</v>
      </c>
      <c r="AV20" s="1" t="s">
        <v>36</v>
      </c>
      <c r="AW20" s="1">
        <f>MONTH(AT20)</f>
        <v>5</v>
      </c>
      <c r="AX20" s="1">
        <f>DAY(AT20)</f>
        <v>21</v>
      </c>
      <c r="AY20" s="46">
        <f t="shared" si="7"/>
        <v>5</v>
      </c>
      <c r="AZ20" s="44">
        <f t="shared" si="17"/>
        <v>1</v>
      </c>
    </row>
    <row r="21" spans="1:52" x14ac:dyDescent="0.2">
      <c r="A21" s="197"/>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198"/>
      <c r="AG21" s="195"/>
      <c r="AH21" s="9" t="s">
        <v>15</v>
      </c>
      <c r="AN21" s="63" t="str">
        <f t="shared" si="3"/>
        <v>Pfingstsonntag</v>
      </c>
      <c r="AO21" s="64" t="str">
        <f t="shared" si="4"/>
        <v>PS</v>
      </c>
      <c r="AP21" s="67">
        <f t="shared" si="5"/>
        <v>43982</v>
      </c>
      <c r="AQ21" s="1">
        <f t="shared" si="6"/>
        <v>0</v>
      </c>
      <c r="AR21" s="1">
        <f t="shared" si="10"/>
        <v>7</v>
      </c>
      <c r="AT21" s="54">
        <f>$AT$17+49</f>
        <v>43982</v>
      </c>
      <c r="AU21" s="49" t="s">
        <v>37</v>
      </c>
      <c r="AV21" s="1" t="s">
        <v>38</v>
      </c>
      <c r="AW21" s="1">
        <f>MONTH(AT21)</f>
        <v>5</v>
      </c>
      <c r="AX21" s="1">
        <f>DAY(AT21)</f>
        <v>31</v>
      </c>
      <c r="AY21" s="46">
        <f t="shared" si="7"/>
        <v>1</v>
      </c>
      <c r="AZ21" s="44">
        <f t="shared" si="17"/>
        <v>0</v>
      </c>
    </row>
    <row r="22" spans="1:52" x14ac:dyDescent="0.2">
      <c r="A22" s="196">
        <f t="shared" ref="A22" si="21">EOMONTH(A20,0)+1</f>
        <v>44013</v>
      </c>
      <c r="B22" s="52">
        <f t="shared" ref="B22:AF22" si="22">IFERROR(VLOOKUP(DATE($AD$3,MONTH($A22),B$9),$AT$13:$AV$29,3,FALSE),WEEKDAY(DATE($AD$3,MONTH($A22),B$9)))</f>
        <v>4</v>
      </c>
      <c r="C22" s="52">
        <f t="shared" si="22"/>
        <v>5</v>
      </c>
      <c r="D22" s="52">
        <f t="shared" si="22"/>
        <v>6</v>
      </c>
      <c r="E22" s="52">
        <f t="shared" si="22"/>
        <v>7</v>
      </c>
      <c r="F22" s="52">
        <f t="shared" si="22"/>
        <v>1</v>
      </c>
      <c r="G22" s="52">
        <f t="shared" si="22"/>
        <v>2</v>
      </c>
      <c r="H22" s="52">
        <f t="shared" si="22"/>
        <v>3</v>
      </c>
      <c r="I22" s="52">
        <f t="shared" si="22"/>
        <v>4</v>
      </c>
      <c r="J22" s="52">
        <f t="shared" si="22"/>
        <v>5</v>
      </c>
      <c r="K22" s="52">
        <f t="shared" si="22"/>
        <v>6</v>
      </c>
      <c r="L22" s="52">
        <f t="shared" si="22"/>
        <v>7</v>
      </c>
      <c r="M22" s="52">
        <f t="shared" si="22"/>
        <v>1</v>
      </c>
      <c r="N22" s="52">
        <f t="shared" si="22"/>
        <v>2</v>
      </c>
      <c r="O22" s="52">
        <f t="shared" si="22"/>
        <v>3</v>
      </c>
      <c r="P22" s="52">
        <f t="shared" si="22"/>
        <v>4</v>
      </c>
      <c r="Q22" s="52">
        <f t="shared" si="22"/>
        <v>5</v>
      </c>
      <c r="R22" s="52">
        <f t="shared" si="22"/>
        <v>6</v>
      </c>
      <c r="S22" s="52">
        <f t="shared" si="22"/>
        <v>7</v>
      </c>
      <c r="T22" s="52">
        <f t="shared" si="22"/>
        <v>1</v>
      </c>
      <c r="U22" s="52">
        <f t="shared" si="22"/>
        <v>2</v>
      </c>
      <c r="V22" s="52">
        <f t="shared" si="22"/>
        <v>3</v>
      </c>
      <c r="W22" s="52">
        <f t="shared" si="22"/>
        <v>4</v>
      </c>
      <c r="X22" s="52">
        <f t="shared" si="22"/>
        <v>5</v>
      </c>
      <c r="Y22" s="52">
        <f t="shared" si="22"/>
        <v>6</v>
      </c>
      <c r="Z22" s="52">
        <f t="shared" si="22"/>
        <v>7</v>
      </c>
      <c r="AA22" s="52">
        <f t="shared" si="22"/>
        <v>1</v>
      </c>
      <c r="AB22" s="52">
        <f t="shared" si="22"/>
        <v>2</v>
      </c>
      <c r="AC22" s="52">
        <f t="shared" si="22"/>
        <v>3</v>
      </c>
      <c r="AD22" s="52">
        <f t="shared" si="22"/>
        <v>4</v>
      </c>
      <c r="AE22" s="52">
        <f t="shared" si="22"/>
        <v>5</v>
      </c>
      <c r="AF22" s="52">
        <f t="shared" si="22"/>
        <v>6</v>
      </c>
      <c r="AG22" s="195">
        <f t="shared" ref="AG22" si="23">SUM(B23:AF23)</f>
        <v>0</v>
      </c>
      <c r="AH22" s="8"/>
      <c r="AJ22" s="77">
        <f>A22</f>
        <v>44013</v>
      </c>
      <c r="AK22" s="1">
        <f>COUNTIF($AQ$13:$AQ$29,MONTH(A22))</f>
        <v>0</v>
      </c>
      <c r="AL22">
        <f>IF(AG22=0,0,AK22)</f>
        <v>0</v>
      </c>
      <c r="AN22" s="63" t="str">
        <f t="shared" si="3"/>
        <v>Pfingstmontag</v>
      </c>
      <c r="AO22" s="64" t="str">
        <f t="shared" si="4"/>
        <v>PM</v>
      </c>
      <c r="AP22" s="67">
        <f t="shared" si="5"/>
        <v>43983</v>
      </c>
      <c r="AQ22" s="1">
        <f t="shared" si="6"/>
        <v>6</v>
      </c>
      <c r="AR22" s="1">
        <f t="shared" si="10"/>
        <v>1</v>
      </c>
      <c r="AT22" s="54">
        <f>AT21+1</f>
        <v>43983</v>
      </c>
      <c r="AU22" s="49" t="s">
        <v>39</v>
      </c>
      <c r="AV22" s="1" t="s">
        <v>40</v>
      </c>
      <c r="AW22" s="1">
        <f>AW21</f>
        <v>5</v>
      </c>
      <c r="AX22" s="1">
        <f>AX21+1</f>
        <v>32</v>
      </c>
      <c r="AY22" s="46">
        <f t="shared" si="7"/>
        <v>2</v>
      </c>
      <c r="AZ22" s="44">
        <f t="shared" si="17"/>
        <v>1</v>
      </c>
    </row>
    <row r="23" spans="1:52" x14ac:dyDescent="0.2">
      <c r="A23" s="197"/>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195"/>
      <c r="AH23" s="9" t="s">
        <v>15</v>
      </c>
      <c r="AN23" s="63" t="str">
        <f t="shared" si="3"/>
        <v>Fronleichnam</v>
      </c>
      <c r="AO23" s="64" t="str">
        <f t="shared" si="4"/>
        <v>Fronl.</v>
      </c>
      <c r="AP23" s="67">
        <f t="shared" si="5"/>
        <v>43993</v>
      </c>
      <c r="AQ23" s="1">
        <f t="shared" si="6"/>
        <v>6</v>
      </c>
      <c r="AR23" s="1">
        <f t="shared" si="10"/>
        <v>4</v>
      </c>
      <c r="AT23" s="54">
        <f>$AT$17+60</f>
        <v>43993</v>
      </c>
      <c r="AU23" s="49" t="s">
        <v>41</v>
      </c>
      <c r="AV23" s="41" t="str">
        <f>IF(AZ23=0,AY23,"Fronl.")</f>
        <v>Fronl.</v>
      </c>
      <c r="AW23" s="1">
        <f>MONTH(AT23)</f>
        <v>6</v>
      </c>
      <c r="AX23" s="1">
        <f>DAY(AT23)</f>
        <v>11</v>
      </c>
      <c r="AY23" s="46">
        <f t="shared" si="7"/>
        <v>5</v>
      </c>
      <c r="AZ23" s="44">
        <f>IF(VLOOKUP($AZ$7,$AT$40:$BA$55,4,FALSE)=1,IF(WEEKDAY(DATE($AZ$10,AW23,AX23))=1,0,IF(WEEKDAY(DATE($AZ$10,AW23,AX23))=7,0,1)),0)</f>
        <v>1</v>
      </c>
    </row>
    <row r="24" spans="1:52" x14ac:dyDescent="0.2">
      <c r="A24" s="196">
        <f t="shared" ref="A24" si="24">EOMONTH(A22,0)+1</f>
        <v>44044</v>
      </c>
      <c r="B24" s="52">
        <f t="shared" ref="B24:AF24" si="25">IFERROR(VLOOKUP(DATE($AD$3,MONTH($A24),B$9),$AT$13:$AV$29,3,FALSE),WEEKDAY(DATE($AD$3,MONTH($A24),B$9)))</f>
        <v>7</v>
      </c>
      <c r="C24" s="52">
        <f t="shared" si="25"/>
        <v>1</v>
      </c>
      <c r="D24" s="52">
        <f t="shared" si="25"/>
        <v>2</v>
      </c>
      <c r="E24" s="52">
        <f t="shared" si="25"/>
        <v>3</v>
      </c>
      <c r="F24" s="52">
        <f t="shared" si="25"/>
        <v>4</v>
      </c>
      <c r="G24" s="52">
        <f t="shared" si="25"/>
        <v>5</v>
      </c>
      <c r="H24" s="52">
        <f t="shared" si="25"/>
        <v>6</v>
      </c>
      <c r="I24" s="52">
        <f t="shared" si="25"/>
        <v>7</v>
      </c>
      <c r="J24" s="52">
        <f t="shared" si="25"/>
        <v>1</v>
      </c>
      <c r="K24" s="52">
        <f t="shared" si="25"/>
        <v>2</v>
      </c>
      <c r="L24" s="52">
        <f t="shared" si="25"/>
        <v>3</v>
      </c>
      <c r="M24" s="52">
        <f t="shared" si="25"/>
        <v>4</v>
      </c>
      <c r="N24" s="52">
        <f t="shared" si="25"/>
        <v>5</v>
      </c>
      <c r="O24" s="52">
        <f t="shared" si="25"/>
        <v>6</v>
      </c>
      <c r="P24" s="52">
        <f t="shared" si="25"/>
        <v>7</v>
      </c>
      <c r="Q24" s="52">
        <f t="shared" si="25"/>
        <v>1</v>
      </c>
      <c r="R24" s="52">
        <f t="shared" si="25"/>
        <v>2</v>
      </c>
      <c r="S24" s="52">
        <f t="shared" si="25"/>
        <v>3</v>
      </c>
      <c r="T24" s="52">
        <f t="shared" si="25"/>
        <v>4</v>
      </c>
      <c r="U24" s="52">
        <f t="shared" si="25"/>
        <v>5</v>
      </c>
      <c r="V24" s="52">
        <f t="shared" si="25"/>
        <v>6</v>
      </c>
      <c r="W24" s="52">
        <f t="shared" si="25"/>
        <v>7</v>
      </c>
      <c r="X24" s="52">
        <f t="shared" si="25"/>
        <v>1</v>
      </c>
      <c r="Y24" s="52">
        <f t="shared" si="25"/>
        <v>2</v>
      </c>
      <c r="Z24" s="52">
        <f t="shared" si="25"/>
        <v>3</v>
      </c>
      <c r="AA24" s="52">
        <f t="shared" si="25"/>
        <v>4</v>
      </c>
      <c r="AB24" s="52">
        <f t="shared" si="25"/>
        <v>5</v>
      </c>
      <c r="AC24" s="52">
        <f t="shared" si="25"/>
        <v>6</v>
      </c>
      <c r="AD24" s="52">
        <f t="shared" si="25"/>
        <v>7</v>
      </c>
      <c r="AE24" s="52">
        <f t="shared" si="25"/>
        <v>1</v>
      </c>
      <c r="AF24" s="52">
        <f t="shared" si="25"/>
        <v>2</v>
      </c>
      <c r="AG24" s="195">
        <f t="shared" ref="AG24" si="26">SUM(B25:AF25)</f>
        <v>0</v>
      </c>
      <c r="AH24" s="8"/>
      <c r="AJ24" s="77">
        <f>A24</f>
        <v>44044</v>
      </c>
      <c r="AK24" s="1">
        <f>COUNTIF($AQ$13:$AQ$29,MONTH(A24))</f>
        <v>0</v>
      </c>
      <c r="AL24">
        <f>IF(AG24=0,0,AK24)</f>
        <v>0</v>
      </c>
      <c r="AN24" s="63" t="str">
        <f t="shared" si="3"/>
        <v>Mariä Himmelfahrt</v>
      </c>
      <c r="AO24" s="64">
        <f t="shared" si="4"/>
        <v>7</v>
      </c>
      <c r="AP24" s="67">
        <f t="shared" si="5"/>
        <v>44058</v>
      </c>
      <c r="AQ24" s="1">
        <f t="shared" ref="AQ24:AQ25" si="27">IF(AR24&lt;6,MONTH(AP24),0)</f>
        <v>0</v>
      </c>
      <c r="AR24" s="1">
        <f t="shared" si="10"/>
        <v>6</v>
      </c>
      <c r="AT24" s="54">
        <f t="shared" ref="AT24:AT29" si="28">DATE($AZ$10,AW24,AX24)</f>
        <v>44058</v>
      </c>
      <c r="AU24" s="49" t="s">
        <v>42</v>
      </c>
      <c r="AV24" s="41">
        <f>IF(AZ24=0,AY24,"M.HF")</f>
        <v>7</v>
      </c>
      <c r="AW24" s="1">
        <v>8</v>
      </c>
      <c r="AX24" s="1">
        <v>15</v>
      </c>
      <c r="AY24" s="46">
        <f t="shared" si="7"/>
        <v>7</v>
      </c>
      <c r="AZ24" s="44">
        <f>IF(VLOOKUP($AZ$7,$AT$40:$BA$55,5,FALSE)=1,IF(WEEKDAY(DATE($AZ$10,AW24,AX24))=1,0,IF(WEEKDAY(DATE($AZ$10,AW24,AX24))=7,0,1)),0)</f>
        <v>0</v>
      </c>
    </row>
    <row r="25" spans="1:52" x14ac:dyDescent="0.2">
      <c r="A25" s="197"/>
      <c r="B25" s="50"/>
      <c r="C25" s="50"/>
      <c r="D25" s="50"/>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195"/>
      <c r="AH25" s="9" t="s">
        <v>15</v>
      </c>
      <c r="AN25" s="63" t="str">
        <f t="shared" si="3"/>
        <v>Tag der dt. Einheit</v>
      </c>
      <c r="AO25" s="64" t="str">
        <f t="shared" si="4"/>
        <v>TDE</v>
      </c>
      <c r="AP25" s="67">
        <f t="shared" si="5"/>
        <v>44107</v>
      </c>
      <c r="AQ25" s="1">
        <f t="shared" si="27"/>
        <v>0</v>
      </c>
      <c r="AR25" s="1">
        <f t="shared" si="10"/>
        <v>6</v>
      </c>
      <c r="AT25" s="53">
        <f t="shared" si="28"/>
        <v>44107</v>
      </c>
      <c r="AU25" s="49" t="s">
        <v>43</v>
      </c>
      <c r="AV25" s="1" t="s">
        <v>44</v>
      </c>
      <c r="AW25" s="1">
        <v>10</v>
      </c>
      <c r="AX25" s="1">
        <v>3</v>
      </c>
      <c r="AY25" s="46">
        <f t="shared" si="7"/>
        <v>7</v>
      </c>
      <c r="AZ25" s="44">
        <f t="shared" si="17"/>
        <v>0</v>
      </c>
    </row>
    <row r="26" spans="1:52" x14ac:dyDescent="0.2">
      <c r="A26" s="196">
        <f t="shared" ref="A26" si="29">EOMONTH(A24,0)+1</f>
        <v>44075</v>
      </c>
      <c r="B26" s="52">
        <f t="shared" ref="B26:AE26" si="30">IFERROR(VLOOKUP(DATE($AD$3,MONTH($A26),B$9),$AT$13:$AV$29,3,FALSE),WEEKDAY(DATE($AD$3,MONTH($A26),B$9)))</f>
        <v>3</v>
      </c>
      <c r="C26" s="52">
        <f t="shared" si="30"/>
        <v>4</v>
      </c>
      <c r="D26" s="52">
        <f t="shared" si="30"/>
        <v>5</v>
      </c>
      <c r="E26" s="52">
        <f t="shared" si="30"/>
        <v>6</v>
      </c>
      <c r="F26" s="52">
        <f t="shared" si="30"/>
        <v>7</v>
      </c>
      <c r="G26" s="52">
        <f t="shared" si="30"/>
        <v>1</v>
      </c>
      <c r="H26" s="52">
        <f t="shared" si="30"/>
        <v>2</v>
      </c>
      <c r="I26" s="52">
        <f t="shared" si="30"/>
        <v>3</v>
      </c>
      <c r="J26" s="52">
        <f t="shared" si="30"/>
        <v>4</v>
      </c>
      <c r="K26" s="52">
        <f t="shared" si="30"/>
        <v>5</v>
      </c>
      <c r="L26" s="52">
        <f t="shared" si="30"/>
        <v>6</v>
      </c>
      <c r="M26" s="52">
        <f t="shared" si="30"/>
        <v>7</v>
      </c>
      <c r="N26" s="52">
        <f t="shared" si="30"/>
        <v>1</v>
      </c>
      <c r="O26" s="52">
        <f t="shared" si="30"/>
        <v>2</v>
      </c>
      <c r="P26" s="52">
        <f t="shared" si="30"/>
        <v>3</v>
      </c>
      <c r="Q26" s="52">
        <f t="shared" si="30"/>
        <v>4</v>
      </c>
      <c r="R26" s="52">
        <f t="shared" si="30"/>
        <v>5</v>
      </c>
      <c r="S26" s="52">
        <f t="shared" si="30"/>
        <v>6</v>
      </c>
      <c r="T26" s="52">
        <f t="shared" si="30"/>
        <v>7</v>
      </c>
      <c r="U26" s="52">
        <f t="shared" si="30"/>
        <v>1</v>
      </c>
      <c r="V26" s="52">
        <f t="shared" si="30"/>
        <v>2</v>
      </c>
      <c r="W26" s="52">
        <f t="shared" si="30"/>
        <v>3</v>
      </c>
      <c r="X26" s="52">
        <f t="shared" si="30"/>
        <v>4</v>
      </c>
      <c r="Y26" s="52">
        <f t="shared" si="30"/>
        <v>5</v>
      </c>
      <c r="Z26" s="52">
        <f t="shared" si="30"/>
        <v>6</v>
      </c>
      <c r="AA26" s="52">
        <f t="shared" si="30"/>
        <v>7</v>
      </c>
      <c r="AB26" s="52">
        <f t="shared" si="30"/>
        <v>1</v>
      </c>
      <c r="AC26" s="52">
        <f t="shared" si="30"/>
        <v>2</v>
      </c>
      <c r="AD26" s="52">
        <f t="shared" si="30"/>
        <v>3</v>
      </c>
      <c r="AE26" s="52">
        <f t="shared" si="30"/>
        <v>4</v>
      </c>
      <c r="AF26" s="198"/>
      <c r="AG26" s="195">
        <f t="shared" ref="AG26" si="31">SUM(B27:AF27)</f>
        <v>0</v>
      </c>
      <c r="AH26" s="8"/>
      <c r="AJ26" s="77">
        <f>A26</f>
        <v>44075</v>
      </c>
      <c r="AK26" s="1">
        <f>COUNTIF($AQ$13:$AQ$29,MONTH(A26))</f>
        <v>0</v>
      </c>
      <c r="AL26">
        <f>IF(AG26=0,0,AK26)</f>
        <v>0</v>
      </c>
      <c r="AN26" s="63" t="str">
        <f t="shared" si="3"/>
        <v>Reformationstag</v>
      </c>
      <c r="AO26" s="64">
        <f t="shared" si="4"/>
        <v>7</v>
      </c>
      <c r="AP26" s="67">
        <f t="shared" si="5"/>
        <v>44135</v>
      </c>
      <c r="AQ26" s="1">
        <f>IF(VLOOKUP($AZ$7,$AT$40:$BA$55,2,FALSE)=1,IF(AR26&lt;6,MONTH(AP26),0),0)</f>
        <v>0</v>
      </c>
      <c r="AR26" s="1">
        <f t="shared" ref="AR26" si="32">WEEKDAY(AP26,2)</f>
        <v>6</v>
      </c>
      <c r="AT26" s="53">
        <f t="shared" si="28"/>
        <v>44135</v>
      </c>
      <c r="AU26" s="49" t="s">
        <v>45</v>
      </c>
      <c r="AV26" s="41">
        <f>IF(AZ26=0,AY26,"RT")</f>
        <v>7</v>
      </c>
      <c r="AW26" s="1">
        <v>10</v>
      </c>
      <c r="AX26" s="1">
        <v>31</v>
      </c>
      <c r="AY26" s="46">
        <f t="shared" si="7"/>
        <v>7</v>
      </c>
      <c r="AZ26" s="44">
        <f>IF(VLOOKUP($AZ$7,$AT$40:$BA$55,6,FALSE)=1,IF(WEEKDAY(DATE($AZ$10,AW26,AX26))=1,0,IF(WEEKDAY(DATE($AZ$10,AW26,AX26))=7,0,1)),0)</f>
        <v>0</v>
      </c>
    </row>
    <row r="27" spans="1:52" x14ac:dyDescent="0.2">
      <c r="A27" s="197"/>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198"/>
      <c r="AG27" s="195"/>
      <c r="AH27" s="9" t="s">
        <v>15</v>
      </c>
      <c r="AN27" s="63" t="str">
        <f t="shared" si="3"/>
        <v>Allerheiligen</v>
      </c>
      <c r="AO27" s="64">
        <f t="shared" si="4"/>
        <v>1</v>
      </c>
      <c r="AP27" s="67">
        <f t="shared" si="5"/>
        <v>44136</v>
      </c>
      <c r="AQ27" s="1">
        <f>IF(VLOOKUP($AZ$7,$AT$40:$BA$55,2,FALSE)=1,IF(AR27&lt;6,MONTH(AP27),0),0)</f>
        <v>0</v>
      </c>
      <c r="AR27" s="1">
        <f t="shared" si="10"/>
        <v>7</v>
      </c>
      <c r="AT27" s="53">
        <f t="shared" si="28"/>
        <v>44136</v>
      </c>
      <c r="AU27" s="49" t="s">
        <v>46</v>
      </c>
      <c r="AV27" s="41">
        <f>IF(AZ27=0,AY27,"Allerh.")</f>
        <v>1</v>
      </c>
      <c r="AW27" s="1">
        <v>11</v>
      </c>
      <c r="AX27" s="1">
        <v>1</v>
      </c>
      <c r="AY27" s="46">
        <f t="shared" si="7"/>
        <v>1</v>
      </c>
      <c r="AZ27" s="44">
        <f>IF(VLOOKUP($AZ$7,$AT$40:$BA$55,7,FALSE)=1,IF(WEEKDAY(DATE($AZ$10,AW27,AX27))=1,0,IF(WEEKDAY(DATE($AZ$10,AW27,AX27))=7,0,1)),0)</f>
        <v>0</v>
      </c>
    </row>
    <row r="28" spans="1:52" x14ac:dyDescent="0.2">
      <c r="A28" s="196">
        <f t="shared" ref="A28" si="33">EOMONTH(A26,0)+1</f>
        <v>44105</v>
      </c>
      <c r="B28" s="52">
        <f t="shared" ref="B28:AF28" si="34">IFERROR(VLOOKUP(DATE($AD$3,MONTH($A28),B$9),$AT$13:$AV$29,3,FALSE),WEEKDAY(DATE($AD$3,MONTH($A28),B$9)))</f>
        <v>5</v>
      </c>
      <c r="C28" s="52">
        <f t="shared" si="34"/>
        <v>6</v>
      </c>
      <c r="D28" s="52" t="str">
        <f t="shared" si="34"/>
        <v>TDE</v>
      </c>
      <c r="E28" s="52">
        <f t="shared" si="34"/>
        <v>1</v>
      </c>
      <c r="F28" s="52">
        <f t="shared" si="34"/>
        <v>2</v>
      </c>
      <c r="G28" s="52">
        <f t="shared" si="34"/>
        <v>3</v>
      </c>
      <c r="H28" s="52">
        <f t="shared" si="34"/>
        <v>4</v>
      </c>
      <c r="I28" s="52">
        <f t="shared" si="34"/>
        <v>5</v>
      </c>
      <c r="J28" s="52">
        <f t="shared" si="34"/>
        <v>6</v>
      </c>
      <c r="K28" s="52">
        <f t="shared" si="34"/>
        <v>7</v>
      </c>
      <c r="L28" s="52">
        <f t="shared" si="34"/>
        <v>1</v>
      </c>
      <c r="M28" s="52">
        <f t="shared" si="34"/>
        <v>2</v>
      </c>
      <c r="N28" s="52">
        <f t="shared" si="34"/>
        <v>3</v>
      </c>
      <c r="O28" s="52">
        <f t="shared" si="34"/>
        <v>4</v>
      </c>
      <c r="P28" s="52">
        <f t="shared" si="34"/>
        <v>5</v>
      </c>
      <c r="Q28" s="52">
        <f t="shared" si="34"/>
        <v>6</v>
      </c>
      <c r="R28" s="52">
        <f t="shared" si="34"/>
        <v>7</v>
      </c>
      <c r="S28" s="52">
        <f t="shared" si="34"/>
        <v>1</v>
      </c>
      <c r="T28" s="52">
        <f t="shared" si="34"/>
        <v>2</v>
      </c>
      <c r="U28" s="52">
        <f t="shared" si="34"/>
        <v>3</v>
      </c>
      <c r="V28" s="52">
        <f t="shared" si="34"/>
        <v>4</v>
      </c>
      <c r="W28" s="52">
        <f t="shared" si="34"/>
        <v>5</v>
      </c>
      <c r="X28" s="52">
        <f t="shared" si="34"/>
        <v>6</v>
      </c>
      <c r="Y28" s="52">
        <f t="shared" si="34"/>
        <v>7</v>
      </c>
      <c r="Z28" s="52">
        <f t="shared" si="34"/>
        <v>1</v>
      </c>
      <c r="AA28" s="52">
        <f t="shared" si="34"/>
        <v>2</v>
      </c>
      <c r="AB28" s="52">
        <f t="shared" si="34"/>
        <v>3</v>
      </c>
      <c r="AC28" s="52">
        <f t="shared" si="34"/>
        <v>4</v>
      </c>
      <c r="AD28" s="52">
        <f t="shared" si="34"/>
        <v>5</v>
      </c>
      <c r="AE28" s="52">
        <f t="shared" si="34"/>
        <v>6</v>
      </c>
      <c r="AF28" s="52">
        <f t="shared" si="34"/>
        <v>7</v>
      </c>
      <c r="AG28" s="195">
        <f t="shared" ref="AG28" si="35">SUM(B29:AF29)</f>
        <v>0</v>
      </c>
      <c r="AH28" s="8"/>
      <c r="AJ28" s="77">
        <f>A28</f>
        <v>44105</v>
      </c>
      <c r="AK28" s="1">
        <f>COUNTIF($AQ$13:$AQ$29,MONTH(A28))</f>
        <v>0</v>
      </c>
      <c r="AL28">
        <f>IF(AG28=0,0,AK28)</f>
        <v>0</v>
      </c>
      <c r="AN28" s="63" t="str">
        <f>AU28</f>
        <v>1. Weihnachtstag</v>
      </c>
      <c r="AO28" s="64" t="str">
        <f>AV28</f>
        <v>1.WT</v>
      </c>
      <c r="AP28" s="67">
        <f>AT28</f>
        <v>44190</v>
      </c>
      <c r="AQ28" s="1">
        <f>IF(AR28&lt;6,MONTH(AP28),0)</f>
        <v>12</v>
      </c>
      <c r="AR28" s="1">
        <f>WEEKDAY(AP28,2)</f>
        <v>5</v>
      </c>
      <c r="AT28" s="53">
        <f t="shared" si="28"/>
        <v>44190</v>
      </c>
      <c r="AU28" s="49" t="s">
        <v>47</v>
      </c>
      <c r="AV28" s="1" t="s">
        <v>48</v>
      </c>
      <c r="AW28" s="1">
        <v>12</v>
      </c>
      <c r="AX28" s="1">
        <v>25</v>
      </c>
      <c r="AY28" s="46">
        <f>WEEKDAY(DATE($AZ$10,AW28,AX28))</f>
        <v>6</v>
      </c>
      <c r="AZ28" s="44">
        <f>IF(WEEKDAY(DATE($AZ$10,AW28,AX28))=1,0,IF(WEEKDAY(DATE($AZ$10,AW28,AX28))=7,0,1))</f>
        <v>1</v>
      </c>
    </row>
    <row r="29" spans="1:52" x14ac:dyDescent="0.2">
      <c r="A29" s="197"/>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195"/>
      <c r="AH29" s="9" t="s">
        <v>15</v>
      </c>
      <c r="AN29" s="63" t="str">
        <f>AU29</f>
        <v>2. Weihnachtstag</v>
      </c>
      <c r="AO29" s="64" t="str">
        <f>AV29</f>
        <v>2.WT</v>
      </c>
      <c r="AP29" s="67">
        <f>AT29</f>
        <v>44191</v>
      </c>
      <c r="AQ29" s="1">
        <f>IF(AR29&lt;6,MONTH(AP29),0)</f>
        <v>0</v>
      </c>
      <c r="AR29" s="1">
        <f>WEEKDAY(AP29,2)</f>
        <v>6</v>
      </c>
      <c r="AT29" s="53">
        <f t="shared" si="28"/>
        <v>44191</v>
      </c>
      <c r="AU29" s="49" t="s">
        <v>49</v>
      </c>
      <c r="AV29" s="1" t="s">
        <v>50</v>
      </c>
      <c r="AW29" s="1">
        <v>12</v>
      </c>
      <c r="AX29" s="1">
        <v>26</v>
      </c>
      <c r="AY29" s="46">
        <f>WEEKDAY(DATE($AZ$10,AW29,AX29))</f>
        <v>7</v>
      </c>
      <c r="AZ29" s="44">
        <f>IF(WEEKDAY(DATE($AZ$10,AW29,AX29))=1,0,IF(WEEKDAY(DATE($AZ$10,AW29,AX29))=7,0,1))</f>
        <v>0</v>
      </c>
    </row>
    <row r="30" spans="1:52" x14ac:dyDescent="0.2">
      <c r="A30" s="196">
        <f t="shared" ref="A30:A32" si="36">EOMONTH(A28,0)+1</f>
        <v>44136</v>
      </c>
      <c r="B30" s="52">
        <f t="shared" ref="B30:AE30" si="37">IFERROR(VLOOKUP(DATE($AD$3,MONTH($A30),B$9),$AT$13:$AV$29,3,FALSE),WEEKDAY(DATE($AD$3,MONTH($A30),B$9)))</f>
        <v>1</v>
      </c>
      <c r="C30" s="52">
        <f t="shared" si="37"/>
        <v>2</v>
      </c>
      <c r="D30" s="52">
        <f t="shared" si="37"/>
        <v>3</v>
      </c>
      <c r="E30" s="52">
        <f t="shared" si="37"/>
        <v>4</v>
      </c>
      <c r="F30" s="52">
        <f t="shared" si="37"/>
        <v>5</v>
      </c>
      <c r="G30" s="52">
        <f t="shared" si="37"/>
        <v>6</v>
      </c>
      <c r="H30" s="52">
        <f t="shared" si="37"/>
        <v>7</v>
      </c>
      <c r="I30" s="52">
        <f t="shared" si="37"/>
        <v>1</v>
      </c>
      <c r="J30" s="52">
        <f t="shared" si="37"/>
        <v>2</v>
      </c>
      <c r="K30" s="52">
        <f t="shared" si="37"/>
        <v>3</v>
      </c>
      <c r="L30" s="52">
        <f t="shared" si="37"/>
        <v>4</v>
      </c>
      <c r="M30" s="52">
        <f t="shared" si="37"/>
        <v>5</v>
      </c>
      <c r="N30" s="52">
        <f t="shared" si="37"/>
        <v>6</v>
      </c>
      <c r="O30" s="52">
        <f t="shared" si="37"/>
        <v>7</v>
      </c>
      <c r="P30" s="52">
        <f t="shared" si="37"/>
        <v>1</v>
      </c>
      <c r="Q30" s="52">
        <f t="shared" si="37"/>
        <v>2</v>
      </c>
      <c r="R30" s="52">
        <f t="shared" si="37"/>
        <v>3</v>
      </c>
      <c r="S30" s="52">
        <f t="shared" si="37"/>
        <v>4</v>
      </c>
      <c r="T30" s="52">
        <f t="shared" si="37"/>
        <v>5</v>
      </c>
      <c r="U30" s="52">
        <f t="shared" si="37"/>
        <v>6</v>
      </c>
      <c r="V30" s="52">
        <f t="shared" si="37"/>
        <v>7</v>
      </c>
      <c r="W30" s="52">
        <f t="shared" si="37"/>
        <v>1</v>
      </c>
      <c r="X30" s="52">
        <f t="shared" si="37"/>
        <v>2</v>
      </c>
      <c r="Y30" s="52">
        <f t="shared" si="37"/>
        <v>3</v>
      </c>
      <c r="Z30" s="52">
        <f t="shared" si="37"/>
        <v>4</v>
      </c>
      <c r="AA30" s="52">
        <f t="shared" si="37"/>
        <v>5</v>
      </c>
      <c r="AB30" s="52">
        <f t="shared" si="37"/>
        <v>6</v>
      </c>
      <c r="AC30" s="52">
        <f t="shared" si="37"/>
        <v>7</v>
      </c>
      <c r="AD30" s="52">
        <f t="shared" si="37"/>
        <v>1</v>
      </c>
      <c r="AE30" s="52">
        <f t="shared" si="37"/>
        <v>2</v>
      </c>
      <c r="AF30" s="198"/>
      <c r="AG30" s="195">
        <f t="shared" ref="AG30" si="38">SUM(B31:AF31)</f>
        <v>0</v>
      </c>
      <c r="AH30" s="8"/>
      <c r="AJ30" s="77">
        <f>A30</f>
        <v>44136</v>
      </c>
      <c r="AK30" s="1">
        <f>COUNTIF($AQ$13:$AQ$29,MONTH(A30))</f>
        <v>0</v>
      </c>
      <c r="AL30">
        <f>IF(AG30=0,0,AK30)</f>
        <v>0</v>
      </c>
      <c r="AP30" s="54"/>
      <c r="AQ30" s="54"/>
      <c r="AR30" s="54"/>
      <c r="AS30" s="38"/>
      <c r="AT30" s="37"/>
      <c r="AU30" s="209" t="s">
        <v>51</v>
      </c>
      <c r="AV30" s="210"/>
      <c r="AW30" s="210"/>
      <c r="AX30" s="210"/>
      <c r="AY30" s="211"/>
      <c r="AZ30" s="216">
        <f>SUM(AZ13:AZ29)</f>
        <v>9</v>
      </c>
    </row>
    <row r="31" spans="1:52" ht="16" thickBot="1" x14ac:dyDescent="0.25">
      <c r="A31" s="197"/>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198"/>
      <c r="AG31" s="195"/>
      <c r="AH31" s="9" t="s">
        <v>15</v>
      </c>
      <c r="AN31" s="41"/>
      <c r="AO31" s="41"/>
      <c r="AP31" s="41"/>
      <c r="AQ31" s="41"/>
      <c r="AR31" s="41"/>
      <c r="AS31" s="41"/>
      <c r="AT31" s="37"/>
      <c r="AU31" s="212"/>
      <c r="AV31" s="213"/>
      <c r="AW31" s="213"/>
      <c r="AX31" s="213"/>
      <c r="AY31" s="214"/>
      <c r="AZ31" s="217"/>
    </row>
    <row r="32" spans="1:52" x14ac:dyDescent="0.2">
      <c r="A32" s="196">
        <f t="shared" si="36"/>
        <v>44166</v>
      </c>
      <c r="B32" s="52">
        <f t="shared" ref="B32:AF32" si="39">IFERROR(VLOOKUP(DATE($AD$3,MONTH($A32),B$9),$AT$13:$AV$29,3,FALSE),WEEKDAY(DATE($AD$3,MONTH($A32),B$9)))</f>
        <v>3</v>
      </c>
      <c r="C32" s="52">
        <f t="shared" si="39"/>
        <v>4</v>
      </c>
      <c r="D32" s="52">
        <f t="shared" si="39"/>
        <v>5</v>
      </c>
      <c r="E32" s="52">
        <f t="shared" si="39"/>
        <v>6</v>
      </c>
      <c r="F32" s="52">
        <f t="shared" si="39"/>
        <v>7</v>
      </c>
      <c r="G32" s="52">
        <f t="shared" si="39"/>
        <v>1</v>
      </c>
      <c r="H32" s="52">
        <f t="shared" si="39"/>
        <v>2</v>
      </c>
      <c r="I32" s="52">
        <f t="shared" si="39"/>
        <v>3</v>
      </c>
      <c r="J32" s="52">
        <f t="shared" si="39"/>
        <v>4</v>
      </c>
      <c r="K32" s="52">
        <f t="shared" si="39"/>
        <v>5</v>
      </c>
      <c r="L32" s="52">
        <f t="shared" si="39"/>
        <v>6</v>
      </c>
      <c r="M32" s="52">
        <f t="shared" si="39"/>
        <v>7</v>
      </c>
      <c r="N32" s="52">
        <f t="shared" si="39"/>
        <v>1</v>
      </c>
      <c r="O32" s="52">
        <f t="shared" si="39"/>
        <v>2</v>
      </c>
      <c r="P32" s="52">
        <f t="shared" si="39"/>
        <v>3</v>
      </c>
      <c r="Q32" s="52">
        <f t="shared" si="39"/>
        <v>4</v>
      </c>
      <c r="R32" s="52">
        <f t="shared" si="39"/>
        <v>5</v>
      </c>
      <c r="S32" s="52">
        <f t="shared" si="39"/>
        <v>6</v>
      </c>
      <c r="T32" s="52">
        <f t="shared" si="39"/>
        <v>7</v>
      </c>
      <c r="U32" s="52">
        <f t="shared" si="39"/>
        <v>1</v>
      </c>
      <c r="V32" s="52">
        <f t="shared" si="39"/>
        <v>2</v>
      </c>
      <c r="W32" s="52">
        <f t="shared" si="39"/>
        <v>3</v>
      </c>
      <c r="X32" s="52">
        <f t="shared" si="39"/>
        <v>4</v>
      </c>
      <c r="Y32" s="52">
        <f t="shared" si="39"/>
        <v>5</v>
      </c>
      <c r="Z32" s="52" t="str">
        <f t="shared" si="39"/>
        <v>1.WT</v>
      </c>
      <c r="AA32" s="52" t="str">
        <f t="shared" si="39"/>
        <v>2.WT</v>
      </c>
      <c r="AB32" s="52">
        <f t="shared" si="39"/>
        <v>1</v>
      </c>
      <c r="AC32" s="52">
        <f t="shared" si="39"/>
        <v>2</v>
      </c>
      <c r="AD32" s="52">
        <f t="shared" si="39"/>
        <v>3</v>
      </c>
      <c r="AE32" s="52">
        <f t="shared" si="39"/>
        <v>4</v>
      </c>
      <c r="AF32" s="52">
        <f t="shared" si="39"/>
        <v>5</v>
      </c>
      <c r="AG32" s="195">
        <f t="shared" ref="AG32" si="40">SUM(B33:AF33)</f>
        <v>0</v>
      </c>
      <c r="AH32" s="8"/>
      <c r="AJ32" s="77">
        <f>A32</f>
        <v>44166</v>
      </c>
      <c r="AK32" s="1">
        <f>COUNTIF($AQ$13:$AQ$29,MONTH(A32))</f>
        <v>1</v>
      </c>
      <c r="AL32">
        <f>IF(AG32=0,0,AK32)</f>
        <v>0</v>
      </c>
      <c r="AT32" s="37"/>
      <c r="AU32" s="2"/>
    </row>
    <row r="33" spans="1:54" x14ac:dyDescent="0.2">
      <c r="A33" s="197"/>
      <c r="B33" s="50"/>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195"/>
      <c r="AH33" s="9" t="s">
        <v>15</v>
      </c>
      <c r="AT33" s="37"/>
      <c r="AU33" s="2"/>
    </row>
    <row r="34" spans="1:54" x14ac:dyDescent="0.2">
      <c r="A34" s="10"/>
      <c r="B34" s="4"/>
      <c r="C34" s="4"/>
      <c r="D34" s="4"/>
      <c r="E34" s="4"/>
      <c r="F34" s="4"/>
      <c r="G34" s="4"/>
      <c r="H34" s="4"/>
      <c r="I34" s="4"/>
      <c r="J34" s="4"/>
      <c r="K34" s="4"/>
      <c r="L34" s="4"/>
      <c r="M34" s="4"/>
      <c r="N34" s="4"/>
      <c r="O34" s="156" t="s">
        <v>52</v>
      </c>
      <c r="P34" s="156"/>
      <c r="Q34" s="156"/>
      <c r="R34" s="156"/>
      <c r="S34" s="156"/>
      <c r="T34" s="156"/>
      <c r="U34" s="156"/>
      <c r="V34" s="156"/>
      <c r="W34" s="156"/>
      <c r="X34" s="156"/>
      <c r="Y34" s="156"/>
      <c r="Z34" s="156"/>
      <c r="AA34" s="156"/>
      <c r="AB34" s="156"/>
      <c r="AC34" s="156"/>
      <c r="AD34" s="156"/>
      <c r="AE34" s="156"/>
      <c r="AF34" s="157"/>
      <c r="AG34" s="154">
        <f>SUM(AG10:AG33)</f>
        <v>0</v>
      </c>
      <c r="AH34" s="8"/>
      <c r="AT34" s="37"/>
      <c r="AU34" s="2"/>
    </row>
    <row r="35" spans="1:54" ht="16" thickBot="1" x14ac:dyDescent="0.25">
      <c r="A35" s="11"/>
      <c r="B35" s="12"/>
      <c r="C35" s="12"/>
      <c r="D35" s="12"/>
      <c r="E35" s="12"/>
      <c r="F35" s="12"/>
      <c r="G35" s="12"/>
      <c r="H35" s="12"/>
      <c r="I35" s="12"/>
      <c r="J35" s="12"/>
      <c r="K35" s="12"/>
      <c r="L35" s="12"/>
      <c r="M35" s="12"/>
      <c r="N35" s="12"/>
      <c r="O35" s="158"/>
      <c r="P35" s="158"/>
      <c r="Q35" s="158"/>
      <c r="R35" s="158"/>
      <c r="S35" s="158"/>
      <c r="T35" s="158"/>
      <c r="U35" s="158"/>
      <c r="V35" s="158"/>
      <c r="W35" s="158"/>
      <c r="X35" s="158"/>
      <c r="Y35" s="158"/>
      <c r="Z35" s="158"/>
      <c r="AA35" s="158"/>
      <c r="AB35" s="158"/>
      <c r="AC35" s="158"/>
      <c r="AD35" s="158"/>
      <c r="AE35" s="158"/>
      <c r="AF35" s="159"/>
      <c r="AG35" s="155"/>
      <c r="AH35" s="13" t="s">
        <v>15</v>
      </c>
      <c r="AK35" s="68">
        <f>SUM(AK10:AK33)</f>
        <v>9</v>
      </c>
      <c r="AL35" s="68">
        <f>SUM(AL10:AL33)</f>
        <v>0</v>
      </c>
      <c r="AM35" s="68"/>
      <c r="AT35" s="37"/>
      <c r="AU35" s="2"/>
    </row>
    <row r="36" spans="1:54" ht="16" thickBot="1" x14ac:dyDescent="0.25">
      <c r="AH36" s="20"/>
      <c r="AU36" s="2"/>
    </row>
    <row r="37" spans="1:54" ht="17" x14ac:dyDescent="0.2">
      <c r="A37" s="151" t="s">
        <v>126</v>
      </c>
      <c r="B37" s="152"/>
      <c r="C37" s="152"/>
      <c r="D37" s="152"/>
      <c r="E37" s="152"/>
      <c r="F37" s="152"/>
      <c r="G37" s="152"/>
      <c r="H37" s="152"/>
      <c r="I37" s="152"/>
      <c r="J37" s="152"/>
      <c r="K37" s="152"/>
      <c r="L37" s="152"/>
      <c r="M37" s="152"/>
      <c r="N37" s="152"/>
      <c r="O37" s="152"/>
      <c r="P37" s="152"/>
      <c r="Q37" s="152"/>
      <c r="R37" s="152"/>
      <c r="S37" s="152"/>
      <c r="T37" s="152"/>
      <c r="U37" s="152"/>
      <c r="V37" s="152"/>
      <c r="W37" s="152"/>
      <c r="X37" s="152"/>
      <c r="Y37" s="152"/>
      <c r="Z37" s="152"/>
      <c r="AA37" s="152"/>
      <c r="AB37" s="152"/>
      <c r="AC37" s="152"/>
      <c r="AD37" s="152"/>
      <c r="AE37" s="152"/>
      <c r="AF37" s="153"/>
      <c r="AH37" s="20"/>
    </row>
    <row r="38" spans="1:54" x14ac:dyDescent="0.2">
      <c r="A38" s="112" t="s">
        <v>53</v>
      </c>
      <c r="B38" s="113"/>
      <c r="C38" s="113"/>
      <c r="D38" s="113"/>
      <c r="E38" s="114">
        <v>40</v>
      </c>
      <c r="F38" s="114"/>
      <c r="G38" s="114"/>
      <c r="H38" s="113" t="s">
        <v>54</v>
      </c>
      <c r="I38" s="113"/>
      <c r="J38" s="113"/>
      <c r="K38" s="113"/>
      <c r="L38" s="113"/>
      <c r="M38" s="115"/>
      <c r="N38" s="111" t="s">
        <v>55</v>
      </c>
      <c r="O38" s="111"/>
      <c r="P38" s="111"/>
      <c r="Q38" s="111"/>
      <c r="R38" s="111"/>
      <c r="S38" s="111"/>
      <c r="T38" s="111"/>
      <c r="U38" s="111"/>
      <c r="V38" s="111"/>
      <c r="W38" s="111"/>
      <c r="X38" s="111"/>
      <c r="Y38" s="111"/>
      <c r="Z38" s="111"/>
      <c r="AA38" s="119">
        <f>$E$38*52</f>
        <v>2080</v>
      </c>
      <c r="AB38" s="120"/>
      <c r="AC38" s="121"/>
      <c r="AD38" s="122" t="s">
        <v>54</v>
      </c>
      <c r="AE38" s="123"/>
      <c r="AF38" s="124"/>
      <c r="AG38" s="37"/>
      <c r="AH38" s="21"/>
      <c r="AI38" s="2"/>
      <c r="AJ38" s="2"/>
    </row>
    <row r="39" spans="1:54" s="2" customFormat="1" ht="17" x14ac:dyDescent="0.2">
      <c r="A39" s="28" t="s">
        <v>127</v>
      </c>
      <c r="B39" s="94" t="s">
        <v>56</v>
      </c>
      <c r="C39" s="95"/>
      <c r="D39" s="95"/>
      <c r="E39" s="95"/>
      <c r="F39" s="95"/>
      <c r="G39" s="95"/>
      <c r="H39" s="95"/>
      <c r="I39" s="95"/>
      <c r="J39" s="95"/>
      <c r="K39" s="95"/>
      <c r="L39" s="95"/>
      <c r="M39" s="95"/>
      <c r="N39" s="96"/>
      <c r="O39" s="101">
        <v>30</v>
      </c>
      <c r="P39" s="102"/>
      <c r="Q39" s="103"/>
      <c r="R39" s="88" t="s">
        <v>57</v>
      </c>
      <c r="S39" s="89"/>
      <c r="T39" s="90"/>
      <c r="U39" s="91">
        <f>$E$38/5</f>
        <v>8</v>
      </c>
      <c r="V39" s="92"/>
      <c r="W39" s="93"/>
      <c r="X39" s="88" t="s">
        <v>58</v>
      </c>
      <c r="Y39" s="89"/>
      <c r="Z39" s="90"/>
      <c r="AA39" s="119">
        <f>U39*O39</f>
        <v>240</v>
      </c>
      <c r="AB39" s="120"/>
      <c r="AC39" s="121"/>
      <c r="AD39" s="122" t="s">
        <v>54</v>
      </c>
      <c r="AE39" s="123"/>
      <c r="AF39" s="124"/>
      <c r="AG39" s="37"/>
      <c r="AH39" s="21"/>
      <c r="AK39" s="1"/>
      <c r="AL39"/>
      <c r="AM39"/>
      <c r="AN39"/>
      <c r="AO39" s="1"/>
      <c r="AP39" s="1"/>
      <c r="AQ39" s="1"/>
      <c r="AR39" s="1"/>
      <c r="AS39"/>
      <c r="AT39"/>
      <c r="AU39" s="64" t="s">
        <v>59</v>
      </c>
      <c r="AV39" s="64" t="s">
        <v>60</v>
      </c>
      <c r="AW39" s="64" t="s">
        <v>61</v>
      </c>
      <c r="AX39" s="64" t="s">
        <v>62</v>
      </c>
      <c r="AY39" s="64" t="s">
        <v>63</v>
      </c>
      <c r="AZ39" s="64" t="s">
        <v>64</v>
      </c>
      <c r="BA39" s="64" t="s">
        <v>65</v>
      </c>
      <c r="BB39"/>
    </row>
    <row r="40" spans="1:54" s="2" customFormat="1" ht="16.25" customHeight="1" x14ac:dyDescent="0.2">
      <c r="A40" s="29"/>
      <c r="B40" s="94" t="s">
        <v>66</v>
      </c>
      <c r="C40" s="95"/>
      <c r="D40" s="95"/>
      <c r="E40" s="95"/>
      <c r="F40" s="95"/>
      <c r="G40" s="95"/>
      <c r="H40" s="95"/>
      <c r="I40" s="95"/>
      <c r="J40" s="95"/>
      <c r="K40" s="95"/>
      <c r="L40" s="95"/>
      <c r="M40" s="95"/>
      <c r="N40" s="96"/>
      <c r="O40" s="104">
        <v>0</v>
      </c>
      <c r="P40" s="105"/>
      <c r="Q40" s="106"/>
      <c r="R40" s="88" t="s">
        <v>57</v>
      </c>
      <c r="S40" s="89"/>
      <c r="T40" s="90"/>
      <c r="U40" s="91">
        <f t="shared" ref="U40:U43" si="41">$E$38/5</f>
        <v>8</v>
      </c>
      <c r="V40" s="92"/>
      <c r="W40" s="93"/>
      <c r="X40" s="88" t="s">
        <v>58</v>
      </c>
      <c r="Y40" s="89"/>
      <c r="Z40" s="90"/>
      <c r="AA40" s="119">
        <f t="shared" ref="AA40:AA43" si="42">U40*O40</f>
        <v>0</v>
      </c>
      <c r="AB40" s="120"/>
      <c r="AC40" s="121"/>
      <c r="AD40" s="122" t="s">
        <v>54</v>
      </c>
      <c r="AE40" s="123"/>
      <c r="AF40" s="124"/>
      <c r="AG40" s="37"/>
      <c r="AH40" s="21"/>
      <c r="AK40" s="37"/>
      <c r="AL40"/>
      <c r="AM40"/>
      <c r="AN40"/>
      <c r="AO40" s="1"/>
      <c r="AP40" s="1"/>
      <c r="AQ40" s="1"/>
      <c r="AR40" s="1"/>
      <c r="AS40" s="70" t="s">
        <v>67</v>
      </c>
      <c r="AT40" s="72" t="s">
        <v>68</v>
      </c>
      <c r="AU40" s="72">
        <v>1</v>
      </c>
      <c r="AV40" s="72"/>
      <c r="AW40" s="72">
        <v>1</v>
      </c>
      <c r="AX40" s="72">
        <v>1</v>
      </c>
      <c r="AY40" s="72"/>
      <c r="AZ40" s="72">
        <v>1</v>
      </c>
      <c r="BA40" s="72"/>
      <c r="BB40"/>
    </row>
    <row r="41" spans="1:54" s="2" customFormat="1" x14ac:dyDescent="0.2">
      <c r="A41" s="29"/>
      <c r="B41" s="94" t="s">
        <v>69</v>
      </c>
      <c r="C41" s="95"/>
      <c r="D41" s="95"/>
      <c r="E41" s="95"/>
      <c r="F41" s="95"/>
      <c r="G41" s="95"/>
      <c r="H41" s="95"/>
      <c r="I41" s="95"/>
      <c r="J41" s="95"/>
      <c r="K41" s="95"/>
      <c r="L41" s="95"/>
      <c r="M41" s="95"/>
      <c r="N41" s="96"/>
      <c r="O41" s="104">
        <v>0</v>
      </c>
      <c r="P41" s="105"/>
      <c r="Q41" s="106"/>
      <c r="R41" s="88" t="s">
        <v>57</v>
      </c>
      <c r="S41" s="89"/>
      <c r="T41" s="90"/>
      <c r="U41" s="91">
        <f t="shared" si="41"/>
        <v>8</v>
      </c>
      <c r="V41" s="92"/>
      <c r="W41" s="93"/>
      <c r="X41" s="88" t="s">
        <v>58</v>
      </c>
      <c r="Y41" s="89"/>
      <c r="Z41" s="90"/>
      <c r="AA41" s="119">
        <f t="shared" si="42"/>
        <v>0</v>
      </c>
      <c r="AB41" s="120"/>
      <c r="AC41" s="121"/>
      <c r="AD41" s="122" t="s">
        <v>54</v>
      </c>
      <c r="AE41" s="123"/>
      <c r="AF41" s="124"/>
      <c r="AG41" s="37"/>
      <c r="AH41" s="21"/>
      <c r="AK41" s="37"/>
      <c r="AS41" s="70" t="s">
        <v>16</v>
      </c>
      <c r="AT41" s="74" t="s">
        <v>70</v>
      </c>
      <c r="AU41" s="73">
        <v>1</v>
      </c>
      <c r="AV41" s="73"/>
      <c r="AW41" s="73">
        <v>1</v>
      </c>
      <c r="AX41" s="73">
        <v>1</v>
      </c>
      <c r="AY41" s="74"/>
      <c r="AZ41" s="74">
        <v>1</v>
      </c>
      <c r="BA41" s="74"/>
    </row>
    <row r="42" spans="1:54" s="2" customFormat="1" x14ac:dyDescent="0.2">
      <c r="A42" s="29"/>
      <c r="B42" s="94" t="s">
        <v>71</v>
      </c>
      <c r="C42" s="95"/>
      <c r="D42" s="95"/>
      <c r="E42" s="95"/>
      <c r="F42" s="95"/>
      <c r="G42" s="95"/>
      <c r="H42" s="95"/>
      <c r="I42" s="95"/>
      <c r="J42" s="95"/>
      <c r="K42" s="95"/>
      <c r="L42" s="95"/>
      <c r="M42" s="95"/>
      <c r="N42" s="96"/>
      <c r="O42" s="97">
        <f>AZ30</f>
        <v>9</v>
      </c>
      <c r="P42" s="98"/>
      <c r="Q42" s="99"/>
      <c r="R42" s="88" t="s">
        <v>57</v>
      </c>
      <c r="S42" s="89"/>
      <c r="T42" s="90"/>
      <c r="U42" s="91">
        <f t="shared" si="41"/>
        <v>8</v>
      </c>
      <c r="V42" s="92"/>
      <c r="W42" s="93"/>
      <c r="X42" s="88" t="s">
        <v>58</v>
      </c>
      <c r="Y42" s="89"/>
      <c r="Z42" s="90"/>
      <c r="AA42" s="119">
        <f t="shared" si="42"/>
        <v>72</v>
      </c>
      <c r="AB42" s="120"/>
      <c r="AC42" s="121"/>
      <c r="AD42" s="122" t="s">
        <v>54</v>
      </c>
      <c r="AE42" s="123"/>
      <c r="AF42" s="124"/>
      <c r="AG42" s="37"/>
      <c r="AH42" s="21"/>
      <c r="AK42" s="37"/>
      <c r="AS42" s="70" t="s">
        <v>72</v>
      </c>
      <c r="AT42" s="74" t="s">
        <v>73</v>
      </c>
      <c r="AU42" s="74"/>
      <c r="AV42" s="74">
        <v>1</v>
      </c>
      <c r="AW42" s="74"/>
      <c r="AX42" s="74"/>
      <c r="AY42" s="74"/>
      <c r="AZ42" s="74"/>
      <c r="BA42" s="74"/>
    </row>
    <row r="43" spans="1:54" s="2" customFormat="1" x14ac:dyDescent="0.2">
      <c r="A43" s="30"/>
      <c r="B43" s="94" t="s">
        <v>74</v>
      </c>
      <c r="C43" s="95"/>
      <c r="D43" s="95"/>
      <c r="E43" s="95"/>
      <c r="F43" s="95"/>
      <c r="G43" s="95"/>
      <c r="H43" s="95"/>
      <c r="I43" s="95"/>
      <c r="J43" s="95"/>
      <c r="K43" s="95"/>
      <c r="L43" s="95"/>
      <c r="M43" s="95"/>
      <c r="N43" s="96"/>
      <c r="O43" s="104">
        <v>0</v>
      </c>
      <c r="P43" s="105"/>
      <c r="Q43" s="106"/>
      <c r="R43" s="88" t="s">
        <v>57</v>
      </c>
      <c r="S43" s="89"/>
      <c r="T43" s="90"/>
      <c r="U43" s="91">
        <f t="shared" si="41"/>
        <v>8</v>
      </c>
      <c r="V43" s="92"/>
      <c r="W43" s="93"/>
      <c r="X43" s="88" t="s">
        <v>58</v>
      </c>
      <c r="Y43" s="89"/>
      <c r="Z43" s="90"/>
      <c r="AA43" s="119">
        <f t="shared" si="42"/>
        <v>0</v>
      </c>
      <c r="AB43" s="120"/>
      <c r="AC43" s="121"/>
      <c r="AD43" s="122" t="s">
        <v>54</v>
      </c>
      <c r="AE43" s="123"/>
      <c r="AF43" s="124"/>
      <c r="AG43" s="37"/>
      <c r="AH43" s="21"/>
      <c r="AK43" s="37"/>
      <c r="AS43" s="70" t="s">
        <v>75</v>
      </c>
      <c r="AT43" s="74" t="s">
        <v>65</v>
      </c>
      <c r="AU43" s="74"/>
      <c r="AV43" s="74"/>
      <c r="AW43" s="74"/>
      <c r="AX43" s="74"/>
      <c r="AY43" s="74">
        <v>1</v>
      </c>
      <c r="AZ43" s="74"/>
      <c r="BA43" s="74"/>
    </row>
    <row r="44" spans="1:54" s="2" customFormat="1" x14ac:dyDescent="0.2">
      <c r="A44" s="31" t="s">
        <v>76</v>
      </c>
      <c r="B44" s="100" t="s">
        <v>77</v>
      </c>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c r="AA44" s="144">
        <f>AA38-SUM(AA39:AC43)</f>
        <v>1768</v>
      </c>
      <c r="AB44" s="145"/>
      <c r="AC44" s="146"/>
      <c r="AD44" s="138" t="s">
        <v>54</v>
      </c>
      <c r="AE44" s="139"/>
      <c r="AF44" s="140"/>
      <c r="AG44" s="37"/>
      <c r="AH44" s="21"/>
      <c r="AK44" s="37"/>
      <c r="AS44" s="70" t="s">
        <v>78</v>
      </c>
      <c r="AT44" s="74" t="s">
        <v>79</v>
      </c>
      <c r="AU44" s="74"/>
      <c r="AV44" s="74"/>
      <c r="AW44" s="74"/>
      <c r="AX44" s="74"/>
      <c r="AY44" s="74">
        <v>1</v>
      </c>
      <c r="AZ44" s="74"/>
      <c r="BA44" s="74"/>
    </row>
    <row r="45" spans="1:54" s="2" customFormat="1" ht="16" thickBot="1" x14ac:dyDescent="0.25">
      <c r="A45" s="125" t="s">
        <v>80</v>
      </c>
      <c r="B45" s="126"/>
      <c r="C45" s="126"/>
      <c r="D45" s="126"/>
      <c r="E45" s="126"/>
      <c r="F45" s="126"/>
      <c r="G45" s="126"/>
      <c r="H45" s="126"/>
      <c r="I45" s="126"/>
      <c r="J45" s="126"/>
      <c r="K45" s="126"/>
      <c r="L45" s="126"/>
      <c r="M45" s="126"/>
      <c r="N45" s="126"/>
      <c r="O45" s="126"/>
      <c r="P45" s="126"/>
      <c r="Q45" s="126"/>
      <c r="R45" s="126"/>
      <c r="S45" s="126"/>
      <c r="T45" s="126"/>
      <c r="U45" s="126"/>
      <c r="V45" s="126"/>
      <c r="W45" s="127"/>
      <c r="X45" s="128">
        <v>1</v>
      </c>
      <c r="Y45" s="129"/>
      <c r="Z45" s="130"/>
      <c r="AA45" s="147">
        <f>AA44*X45</f>
        <v>1768</v>
      </c>
      <c r="AB45" s="148"/>
      <c r="AC45" s="149"/>
      <c r="AD45" s="141" t="s">
        <v>54</v>
      </c>
      <c r="AE45" s="142"/>
      <c r="AF45" s="143"/>
      <c r="AG45" s="24"/>
      <c r="AH45" s="25"/>
      <c r="AI45" s="23"/>
      <c r="AJ45" s="23"/>
      <c r="AK45" s="37"/>
      <c r="AS45" s="70" t="s">
        <v>81</v>
      </c>
      <c r="AT45" s="74" t="s">
        <v>82</v>
      </c>
      <c r="AU45" s="74"/>
      <c r="AV45" s="74"/>
      <c r="AW45" s="74"/>
      <c r="AX45" s="74"/>
      <c r="AY45" s="74">
        <v>1</v>
      </c>
      <c r="AZ45" s="74"/>
      <c r="BA45" s="74"/>
    </row>
    <row r="46" spans="1:54" s="23" customFormat="1" ht="16" thickBo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37"/>
      <c r="AH46" s="21"/>
      <c r="AI46" s="2"/>
      <c r="AJ46" s="2"/>
      <c r="AK46" s="37"/>
      <c r="AL46" s="2"/>
      <c r="AM46" s="2"/>
      <c r="AN46" s="2"/>
      <c r="AO46" s="2"/>
      <c r="AP46" s="2"/>
      <c r="AQ46" s="2"/>
      <c r="AR46" s="2"/>
      <c r="AS46" s="70" t="s">
        <v>83</v>
      </c>
      <c r="AT46" s="74" t="s">
        <v>84</v>
      </c>
      <c r="AU46" s="74"/>
      <c r="AV46" s="74"/>
      <c r="AW46" s="74">
        <v>1</v>
      </c>
      <c r="AX46" s="74"/>
      <c r="AY46" s="74"/>
      <c r="AZ46" s="74"/>
      <c r="BA46" s="74"/>
      <c r="BB46" s="2"/>
    </row>
    <row r="47" spans="1:54" s="2" customFormat="1" x14ac:dyDescent="0.2">
      <c r="A47" s="116" t="s">
        <v>85</v>
      </c>
      <c r="B47" s="117"/>
      <c r="C47" s="117"/>
      <c r="D47" s="117"/>
      <c r="E47" s="117"/>
      <c r="F47" s="117"/>
      <c r="G47" s="117"/>
      <c r="H47" s="117"/>
      <c r="I47" s="117"/>
      <c r="J47" s="117"/>
      <c r="K47" s="117"/>
      <c r="L47" s="117"/>
      <c r="M47" s="117"/>
      <c r="N47" s="117"/>
      <c r="O47" s="117"/>
      <c r="P47" s="117"/>
      <c r="Q47" s="117"/>
      <c r="R47" s="117"/>
      <c r="S47" s="117"/>
      <c r="T47" s="118"/>
      <c r="U47" s="37"/>
      <c r="V47" s="21"/>
      <c r="AK47" s="24"/>
      <c r="AS47" s="70" t="s">
        <v>86</v>
      </c>
      <c r="AT47" s="74" t="s">
        <v>87</v>
      </c>
      <c r="AU47" s="74"/>
      <c r="AV47" s="74">
        <v>1</v>
      </c>
      <c r="AW47" s="74"/>
      <c r="AX47" s="74"/>
      <c r="AY47" s="74">
        <v>1</v>
      </c>
      <c r="AZ47" s="74"/>
      <c r="BA47" s="74"/>
    </row>
    <row r="48" spans="1:54" s="2" customFormat="1" ht="17" x14ac:dyDescent="0.2">
      <c r="A48" s="112" t="s">
        <v>128</v>
      </c>
      <c r="B48" s="113"/>
      <c r="C48" s="113"/>
      <c r="D48" s="113"/>
      <c r="E48" s="113"/>
      <c r="F48" s="113"/>
      <c r="G48" s="113"/>
      <c r="H48" s="113"/>
      <c r="I48" s="113"/>
      <c r="J48" s="113"/>
      <c r="K48" s="113"/>
      <c r="L48" s="113"/>
      <c r="M48" s="113"/>
      <c r="N48" s="113"/>
      <c r="O48" s="119">
        <f>AG34</f>
        <v>0</v>
      </c>
      <c r="P48" s="120"/>
      <c r="Q48" s="121"/>
      <c r="R48" s="122" t="s">
        <v>54</v>
      </c>
      <c r="S48" s="123"/>
      <c r="T48" s="124"/>
      <c r="U48" s="37"/>
      <c r="V48" s="21"/>
      <c r="AK48" s="37"/>
      <c r="AL48" s="23"/>
      <c r="AM48" s="23"/>
      <c r="AN48" s="23"/>
      <c r="AO48" s="23"/>
      <c r="AP48" s="23"/>
      <c r="AQ48" s="23"/>
      <c r="AR48" s="23"/>
      <c r="AS48" s="70" t="s">
        <v>88</v>
      </c>
      <c r="AT48" s="75" t="s">
        <v>89</v>
      </c>
      <c r="AU48" s="74"/>
      <c r="AV48" s="74"/>
      <c r="AW48" s="74"/>
      <c r="AX48" s="74"/>
      <c r="AY48" s="75">
        <v>1</v>
      </c>
      <c r="AZ48" s="75"/>
      <c r="BA48" s="75"/>
      <c r="BB48" s="23"/>
    </row>
    <row r="49" spans="1:53" s="2" customFormat="1" x14ac:dyDescent="0.2">
      <c r="A49" s="26" t="s">
        <v>90</v>
      </c>
      <c r="B49" s="94" t="s">
        <v>91</v>
      </c>
      <c r="C49" s="95"/>
      <c r="D49" s="95"/>
      <c r="E49" s="95"/>
      <c r="F49" s="95"/>
      <c r="G49" s="95"/>
      <c r="H49" s="95"/>
      <c r="I49" s="95"/>
      <c r="J49" s="95"/>
      <c r="K49" s="95"/>
      <c r="L49" s="95"/>
      <c r="M49" s="95"/>
      <c r="N49" s="96"/>
      <c r="O49" s="131">
        <f>AA45</f>
        <v>1768</v>
      </c>
      <c r="P49" s="132"/>
      <c r="Q49" s="133"/>
      <c r="R49" s="122" t="s">
        <v>54</v>
      </c>
      <c r="S49" s="123"/>
      <c r="T49" s="124"/>
      <c r="U49" s="37"/>
      <c r="V49" s="21"/>
      <c r="AK49" s="37"/>
      <c r="AS49" s="70" t="s">
        <v>92</v>
      </c>
      <c r="AT49" s="74" t="s">
        <v>93</v>
      </c>
      <c r="AU49" s="75"/>
      <c r="AV49" s="75"/>
      <c r="AW49" s="75">
        <v>1</v>
      </c>
      <c r="AX49" s="75"/>
      <c r="AY49" s="74"/>
      <c r="AZ49" s="74">
        <v>1</v>
      </c>
      <c r="BA49" s="74"/>
    </row>
    <row r="50" spans="1:53" s="2" customFormat="1" ht="18" thickBot="1" x14ac:dyDescent="0.25">
      <c r="A50" s="27" t="s">
        <v>76</v>
      </c>
      <c r="B50" s="134" t="s">
        <v>129</v>
      </c>
      <c r="C50" s="134"/>
      <c r="D50" s="134"/>
      <c r="E50" s="134"/>
      <c r="F50" s="134"/>
      <c r="G50" s="134"/>
      <c r="H50" s="134"/>
      <c r="I50" s="134"/>
      <c r="J50" s="134"/>
      <c r="K50" s="134"/>
      <c r="L50" s="134"/>
      <c r="M50" s="134"/>
      <c r="N50" s="134"/>
      <c r="O50" s="135">
        <f>IF(O49=0,"-",O48/O49)</f>
        <v>0</v>
      </c>
      <c r="P50" s="136"/>
      <c r="Q50" s="136"/>
      <c r="R50" s="136"/>
      <c r="S50" s="136"/>
      <c r="T50" s="137"/>
      <c r="AG50" s="37"/>
      <c r="AH50" s="21"/>
      <c r="AK50" s="37"/>
      <c r="AS50" s="70" t="s">
        <v>94</v>
      </c>
      <c r="AT50" s="74" t="s">
        <v>95</v>
      </c>
      <c r="AU50" s="74"/>
      <c r="AV50" s="74"/>
      <c r="AW50" s="74">
        <v>1</v>
      </c>
      <c r="AX50" s="74"/>
      <c r="AY50" s="74"/>
      <c r="AZ50" s="74">
        <v>1</v>
      </c>
      <c r="BA50" s="74"/>
    </row>
    <row r="51" spans="1:53" s="2" customFormat="1" ht="16" thickBot="1" x14ac:dyDescent="0.25">
      <c r="AG51" s="37"/>
      <c r="AH51" s="21"/>
      <c r="AK51" s="37"/>
      <c r="AS51" s="70" t="s">
        <v>96</v>
      </c>
      <c r="AT51" s="74" t="s">
        <v>97</v>
      </c>
      <c r="AU51" s="74"/>
      <c r="AV51" s="74"/>
      <c r="AW51" s="74">
        <v>1</v>
      </c>
      <c r="AX51" s="74">
        <v>1</v>
      </c>
      <c r="AY51" s="74"/>
      <c r="AZ51" s="74">
        <v>1</v>
      </c>
      <c r="BA51" s="74"/>
    </row>
    <row r="52" spans="1:53" s="2" customFormat="1" x14ac:dyDescent="0.2">
      <c r="A52" s="116" t="s">
        <v>98</v>
      </c>
      <c r="B52" s="117"/>
      <c r="C52" s="117"/>
      <c r="D52" s="117"/>
      <c r="E52" s="117"/>
      <c r="F52" s="117"/>
      <c r="G52" s="117"/>
      <c r="H52" s="117"/>
      <c r="I52" s="117"/>
      <c r="J52" s="117"/>
      <c r="K52" s="117"/>
      <c r="L52" s="117"/>
      <c r="M52" s="117"/>
      <c r="N52" s="117"/>
      <c r="O52" s="117"/>
      <c r="P52" s="117"/>
      <c r="Q52" s="117"/>
      <c r="R52" s="117"/>
      <c r="S52" s="117"/>
      <c r="T52" s="118"/>
      <c r="AG52" s="37"/>
      <c r="AH52" s="21"/>
      <c r="AK52" s="37"/>
      <c r="AS52" s="70" t="s">
        <v>99</v>
      </c>
      <c r="AT52" s="74" t="s">
        <v>100</v>
      </c>
      <c r="AU52" s="74"/>
      <c r="AV52" s="74"/>
      <c r="AW52" s="74">
        <v>1</v>
      </c>
      <c r="AX52" s="74">
        <v>1</v>
      </c>
      <c r="AY52" s="74">
        <v>1</v>
      </c>
      <c r="AZ52" s="74"/>
      <c r="BA52" s="74">
        <v>1</v>
      </c>
    </row>
    <row r="53" spans="1:53" s="2" customFormat="1" ht="17" x14ac:dyDescent="0.2">
      <c r="A53" s="112" t="s">
        <v>130</v>
      </c>
      <c r="B53" s="113"/>
      <c r="C53" s="113"/>
      <c r="D53" s="113"/>
      <c r="E53" s="113"/>
      <c r="F53" s="113"/>
      <c r="G53" s="113"/>
      <c r="H53" s="113"/>
      <c r="I53" s="113"/>
      <c r="J53" s="113"/>
      <c r="K53" s="113"/>
      <c r="L53" s="113"/>
      <c r="M53" s="113"/>
      <c r="N53" s="113"/>
      <c r="O53" s="119">
        <f>$AG$34</f>
        <v>0</v>
      </c>
      <c r="P53" s="120"/>
      <c r="Q53" s="121"/>
      <c r="R53" s="122" t="s">
        <v>54</v>
      </c>
      <c r="S53" s="123"/>
      <c r="T53" s="124"/>
      <c r="AG53" s="37"/>
      <c r="AH53" s="21"/>
      <c r="AK53" s="37"/>
      <c r="AS53" s="70" t="s">
        <v>101</v>
      </c>
      <c r="AT53" s="74" t="s">
        <v>102</v>
      </c>
      <c r="AU53" s="74">
        <v>1</v>
      </c>
      <c r="AV53" s="74"/>
      <c r="AW53" s="74"/>
      <c r="AX53" s="74"/>
      <c r="AY53" s="74">
        <v>1</v>
      </c>
      <c r="AZ53" s="74"/>
      <c r="BA53" s="74"/>
    </row>
    <row r="54" spans="1:53" s="2" customFormat="1" ht="16" thickBot="1" x14ac:dyDescent="0.25">
      <c r="A54" s="85" t="s">
        <v>103</v>
      </c>
      <c r="B54" s="86"/>
      <c r="C54" s="86"/>
      <c r="D54" s="86"/>
      <c r="E54" s="86"/>
      <c r="F54" s="86"/>
      <c r="G54" s="86"/>
      <c r="H54" s="86"/>
      <c r="I54" s="86"/>
      <c r="J54" s="86"/>
      <c r="K54" s="86"/>
      <c r="L54" s="86"/>
      <c r="M54" s="86"/>
      <c r="N54" s="87"/>
      <c r="O54" s="79">
        <f>X45*2080</f>
        <v>2080</v>
      </c>
      <c r="P54" s="80"/>
      <c r="Q54" s="81"/>
      <c r="R54" s="82" t="s">
        <v>54</v>
      </c>
      <c r="S54" s="83"/>
      <c r="T54" s="84"/>
      <c r="AG54" s="37"/>
      <c r="AH54" s="21"/>
      <c r="AK54" s="37"/>
      <c r="AS54" s="70" t="s">
        <v>2</v>
      </c>
      <c r="AT54" s="74" t="s">
        <v>104</v>
      </c>
      <c r="AU54" s="74"/>
      <c r="AV54" s="74"/>
      <c r="AW54" s="74"/>
      <c r="AX54" s="74"/>
      <c r="AY54" s="74">
        <v>1</v>
      </c>
      <c r="AZ54" s="74"/>
      <c r="BA54" s="74"/>
    </row>
    <row r="55" spans="1:53" s="2" customFormat="1" x14ac:dyDescent="0.2">
      <c r="AG55" s="37"/>
      <c r="AH55" s="21"/>
      <c r="AK55" s="37"/>
      <c r="AS55" s="70" t="s">
        <v>105</v>
      </c>
      <c r="AT55" s="76" t="s">
        <v>106</v>
      </c>
      <c r="AU55" s="76"/>
      <c r="AV55" s="76"/>
      <c r="AW55" s="76">
        <v>1</v>
      </c>
      <c r="AX55" s="76">
        <v>1</v>
      </c>
      <c r="AY55" s="76">
        <v>1</v>
      </c>
      <c r="AZ55" s="76"/>
      <c r="BA55" s="76"/>
    </row>
    <row r="56" spans="1:53" s="2" customFormat="1" x14ac:dyDescent="0.2">
      <c r="A56" s="33"/>
      <c r="B56" s="33"/>
      <c r="C56" s="33"/>
      <c r="D56" s="33"/>
      <c r="E56" s="33"/>
      <c r="F56" s="33"/>
      <c r="G56" s="33"/>
      <c r="H56" s="33"/>
      <c r="I56" s="33"/>
      <c r="J56" s="33"/>
      <c r="K56" s="33"/>
      <c r="T56" s="110" t="s">
        <v>107</v>
      </c>
      <c r="U56" s="110"/>
      <c r="V56" s="110"/>
      <c r="W56" s="110"/>
      <c r="X56" s="110"/>
      <c r="Y56" s="110"/>
      <c r="Z56" s="108"/>
      <c r="AA56" s="108"/>
      <c r="AB56" s="108"/>
      <c r="AC56" s="108"/>
      <c r="AD56" s="108"/>
      <c r="AE56" s="108"/>
      <c r="AF56" s="108"/>
      <c r="AG56" s="108"/>
      <c r="AH56" s="108"/>
      <c r="AK56" s="37"/>
      <c r="AO56" s="37"/>
      <c r="AP56" s="37"/>
      <c r="AQ56" s="37"/>
      <c r="AR56" s="37"/>
      <c r="AT56" s="37"/>
      <c r="AW56" s="37"/>
    </row>
    <row r="57" spans="1:53" s="2" customFormat="1" x14ac:dyDescent="0.2">
      <c r="A57" s="34"/>
      <c r="B57" s="34"/>
      <c r="C57" s="34"/>
      <c r="D57" s="34"/>
      <c r="E57" s="34"/>
      <c r="F57" s="34"/>
      <c r="G57" s="34"/>
      <c r="H57" s="34"/>
      <c r="I57" s="34"/>
      <c r="J57" s="34"/>
      <c r="K57" s="34"/>
      <c r="T57" s="110"/>
      <c r="U57" s="110"/>
      <c r="V57" s="110"/>
      <c r="W57" s="110"/>
      <c r="X57" s="110"/>
      <c r="Y57" s="110"/>
      <c r="Z57" s="109"/>
      <c r="AA57" s="109"/>
      <c r="AB57" s="109"/>
      <c r="AC57" s="109"/>
      <c r="AD57" s="109"/>
      <c r="AE57" s="109"/>
      <c r="AF57" s="109"/>
      <c r="AG57" s="109"/>
      <c r="AH57" s="109"/>
      <c r="AK57" s="37"/>
      <c r="AO57" s="37"/>
      <c r="AP57" s="37"/>
      <c r="AQ57" s="37"/>
      <c r="AR57" s="37"/>
      <c r="AT57" s="37"/>
      <c r="AW57" s="37"/>
    </row>
    <row r="58" spans="1:53" s="2" customFormat="1" x14ac:dyDescent="0.2">
      <c r="A58" s="107" t="s">
        <v>108</v>
      </c>
      <c r="B58" s="107"/>
      <c r="C58" s="107"/>
      <c r="D58" s="107"/>
      <c r="E58" s="107"/>
      <c r="F58" s="107"/>
      <c r="G58" s="107"/>
      <c r="H58" s="107"/>
      <c r="I58" s="107"/>
      <c r="J58" s="107"/>
      <c r="K58" s="107"/>
      <c r="Z58" s="107" t="s">
        <v>109</v>
      </c>
      <c r="AA58" s="107"/>
      <c r="AB58" s="107"/>
      <c r="AC58" s="107"/>
      <c r="AD58" s="107"/>
      <c r="AE58" s="107"/>
      <c r="AF58" s="107"/>
      <c r="AG58" s="107"/>
      <c r="AH58" s="107"/>
      <c r="AK58" s="37"/>
      <c r="AO58" s="37"/>
      <c r="AP58" s="37"/>
      <c r="AQ58" s="37"/>
      <c r="AR58" s="37"/>
      <c r="AT58" s="37"/>
      <c r="AW58" s="37"/>
    </row>
    <row r="59" spans="1:53" s="2" customFormat="1" ht="16" thickBot="1" x14ac:dyDescent="0.25">
      <c r="A59" s="32"/>
      <c r="B59" s="32"/>
      <c r="C59" s="32"/>
      <c r="D59" s="32"/>
      <c r="E59" s="32"/>
      <c r="F59" s="32"/>
      <c r="G59" s="32"/>
      <c r="H59" s="32"/>
      <c r="I59" s="32"/>
      <c r="J59" s="32"/>
      <c r="K59" s="32"/>
      <c r="AG59" s="37"/>
      <c r="AK59" s="37"/>
      <c r="AO59" s="37"/>
      <c r="AP59" s="37"/>
      <c r="AQ59" s="37"/>
      <c r="AR59" s="37"/>
      <c r="AT59" s="37"/>
      <c r="AW59" s="37"/>
    </row>
    <row r="60" spans="1:53" s="2" customFormat="1" ht="24.5" customHeight="1" x14ac:dyDescent="0.2">
      <c r="A60" s="150" t="s">
        <v>110</v>
      </c>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c r="AH60" s="150"/>
      <c r="AK60" s="37"/>
      <c r="AO60" s="37"/>
      <c r="AP60" s="37"/>
      <c r="AQ60" s="37"/>
      <c r="AR60" s="37"/>
      <c r="AT60" s="37"/>
      <c r="AW60" s="37"/>
    </row>
    <row r="61" spans="1:53" s="2" customFormat="1" x14ac:dyDescent="0.2">
      <c r="A61" s="150" t="s">
        <v>111</v>
      </c>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0"/>
      <c r="AG61" s="150"/>
      <c r="AH61" s="150"/>
      <c r="AK61" s="37"/>
      <c r="AO61" s="37"/>
      <c r="AP61" s="37"/>
      <c r="AQ61" s="37"/>
      <c r="AR61" s="37"/>
      <c r="AT61" s="37"/>
      <c r="AW61" s="37"/>
    </row>
    <row r="62" spans="1:53" s="2" customFormat="1" x14ac:dyDescent="0.2">
      <c r="A62" s="150" t="s">
        <v>112</v>
      </c>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0"/>
      <c r="AG62" s="150"/>
      <c r="AH62" s="150"/>
      <c r="AK62" s="37"/>
      <c r="AO62" s="37"/>
      <c r="AP62" s="37"/>
      <c r="AQ62" s="37"/>
      <c r="AR62" s="37"/>
      <c r="AT62" s="37"/>
      <c r="AW62" s="37"/>
    </row>
    <row r="63" spans="1:53" s="2" customFormat="1" x14ac:dyDescent="0.2">
      <c r="A63" s="150" t="s">
        <v>113</v>
      </c>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0"/>
      <c r="AG63" s="150"/>
      <c r="AH63" s="150"/>
      <c r="AK63" s="37"/>
      <c r="AO63" s="37"/>
      <c r="AP63" s="37"/>
      <c r="AQ63" s="37"/>
      <c r="AR63" s="37"/>
      <c r="AT63" s="37"/>
      <c r="AW63" s="37"/>
    </row>
    <row r="64" spans="1:53" s="2" customFormat="1" x14ac:dyDescent="0.2">
      <c r="A64" s="150" t="s">
        <v>114</v>
      </c>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c r="AH64" s="150"/>
      <c r="AK64" s="37"/>
      <c r="AO64" s="37"/>
      <c r="AP64" s="37"/>
      <c r="AQ64" s="37"/>
      <c r="AR64" s="37"/>
      <c r="AT64" s="37"/>
      <c r="AW64" s="37"/>
    </row>
    <row r="65" spans="1:53" s="2" customFormat="1" x14ac:dyDescent="0.2">
      <c r="A65" s="150" t="s">
        <v>115</v>
      </c>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c r="AC65" s="150"/>
      <c r="AD65" s="150"/>
      <c r="AE65" s="150"/>
      <c r="AF65" s="150"/>
      <c r="AG65" s="150"/>
      <c r="AH65" s="150"/>
      <c r="AK65" s="37"/>
      <c r="AO65" s="37"/>
      <c r="AP65" s="37"/>
      <c r="AQ65" s="37"/>
      <c r="AR65" s="37"/>
      <c r="AT65" s="37"/>
      <c r="AW65" s="37"/>
    </row>
    <row r="66" spans="1:53" s="2" customFormat="1" ht="29" customHeight="1" x14ac:dyDescent="0.2">
      <c r="A66" s="150" t="s">
        <v>116</v>
      </c>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c r="AH66" s="150"/>
      <c r="AI66" s="22"/>
      <c r="AJ66" s="22"/>
      <c r="AK66" s="37"/>
      <c r="AO66" s="37"/>
      <c r="AP66" s="37"/>
      <c r="AQ66" s="37"/>
      <c r="AR66" s="37"/>
      <c r="AT66" s="37"/>
      <c r="AW66" s="37"/>
    </row>
    <row r="67" spans="1:53" s="22" customFormat="1" x14ac:dyDescent="0.2">
      <c r="A67" s="150" t="s">
        <v>117</v>
      </c>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2"/>
      <c r="AJ67" s="2"/>
      <c r="AK67" s="37"/>
      <c r="AL67" s="2"/>
      <c r="AM67" s="2"/>
      <c r="AN67" s="2"/>
      <c r="AO67" s="37"/>
      <c r="AP67" s="37"/>
      <c r="AQ67" s="37"/>
      <c r="AR67" s="37"/>
      <c r="AS67" s="2"/>
      <c r="AT67" s="37"/>
      <c r="AU67" s="2"/>
      <c r="AV67" s="2"/>
      <c r="AW67" s="37"/>
      <c r="AX67" s="2"/>
      <c r="AY67" s="2"/>
      <c r="AZ67" s="2"/>
      <c r="BA67" s="2"/>
    </row>
    <row r="68" spans="1:53" s="2" customFormat="1" x14ac:dyDescent="0.2">
      <c r="A68" s="150" t="s">
        <v>118</v>
      </c>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c r="AH68" s="150"/>
      <c r="AK68" s="42"/>
      <c r="AN68" s="22"/>
      <c r="AO68" s="37"/>
      <c r="AP68" s="37"/>
      <c r="AQ68" s="37"/>
      <c r="AR68" s="37"/>
      <c r="AT68" s="37"/>
      <c r="AW68" s="37"/>
    </row>
    <row r="69" spans="1:53" s="2" customFormat="1" ht="23" customHeight="1" x14ac:dyDescent="0.2">
      <c r="A69" s="150" t="s">
        <v>119</v>
      </c>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c r="AH69" s="150"/>
      <c r="AK69" s="37"/>
      <c r="AL69" s="22"/>
      <c r="AM69" s="22"/>
      <c r="AO69" s="42"/>
      <c r="AP69" s="42"/>
      <c r="AQ69" s="42"/>
      <c r="AR69" s="42"/>
      <c r="AS69" s="22"/>
      <c r="AT69" s="42"/>
      <c r="AW69" s="37"/>
      <c r="AZ69" s="22"/>
    </row>
    <row r="70" spans="1:53" s="2" customFormat="1" x14ac:dyDescent="0.2">
      <c r="A70" s="150" t="s">
        <v>120</v>
      </c>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c r="AH70" s="150"/>
      <c r="AK70" s="37"/>
      <c r="AO70" s="37"/>
      <c r="AP70" s="37"/>
      <c r="AQ70" s="37"/>
      <c r="AR70" s="37"/>
      <c r="AT70" s="37"/>
      <c r="AU70" s="22"/>
      <c r="AV70" s="22"/>
      <c r="AW70" s="42"/>
      <c r="AX70" s="22"/>
      <c r="AY70" s="22"/>
      <c r="BA70" s="22"/>
    </row>
    <row r="71" spans="1:53" s="2" customFormat="1" ht="29.5" customHeight="1" x14ac:dyDescent="0.2">
      <c r="A71" s="150" t="s">
        <v>121</v>
      </c>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c r="AH71" s="150"/>
      <c r="AK71" s="37"/>
      <c r="AO71" s="37"/>
      <c r="AP71" s="37"/>
      <c r="AQ71" s="37"/>
      <c r="AR71" s="37"/>
      <c r="AT71" s="37"/>
      <c r="AW71" s="37"/>
    </row>
    <row r="72" spans="1:53" s="2" customFormat="1" x14ac:dyDescent="0.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K72" s="37"/>
      <c r="AO72" s="37"/>
      <c r="AP72" s="37"/>
      <c r="AQ72" s="37"/>
      <c r="AR72" s="37"/>
      <c r="AT72" s="37"/>
      <c r="AW72" s="37"/>
    </row>
    <row r="73" spans="1:53" s="2" customFormat="1" x14ac:dyDescent="0.2">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c r="AJ73"/>
      <c r="AK73" s="37"/>
      <c r="AO73" s="37"/>
      <c r="AP73" s="37"/>
      <c r="AQ73" s="37"/>
      <c r="AR73" s="37"/>
      <c r="AT73" s="37"/>
      <c r="AW73" s="37"/>
    </row>
    <row r="74" spans="1:53" x14ac:dyDescent="0.2">
      <c r="AK74" s="37"/>
      <c r="AL74" s="2"/>
      <c r="AM74" s="2"/>
      <c r="AN74" s="2"/>
      <c r="AO74" s="37"/>
      <c r="AP74" s="37"/>
      <c r="AQ74" s="37"/>
      <c r="AR74" s="37"/>
      <c r="AS74" s="2"/>
      <c r="AT74" s="37"/>
      <c r="AU74" s="2"/>
      <c r="AV74" s="2"/>
      <c r="AW74" s="37"/>
      <c r="AX74" s="2"/>
      <c r="AY74" s="2"/>
      <c r="AZ74" s="2"/>
      <c r="BA74" s="2"/>
    </row>
    <row r="75" spans="1:53" ht="14.5" hidden="1" customHeight="1" x14ac:dyDescent="0.2">
      <c r="AL75" s="2"/>
      <c r="AM75" s="2"/>
      <c r="AO75" s="37"/>
      <c r="AP75" s="37"/>
      <c r="AQ75" s="37"/>
      <c r="AR75" s="37"/>
      <c r="AS75" s="2"/>
      <c r="AT75" s="37"/>
      <c r="AU75" s="2"/>
      <c r="AV75" s="2"/>
      <c r="AW75" s="37"/>
      <c r="AX75" s="2"/>
      <c r="AY75" s="2"/>
      <c r="AZ75" s="2"/>
      <c r="BA75" s="2"/>
    </row>
    <row r="76" spans="1:53" x14ac:dyDescent="0.2">
      <c r="AU76" s="2"/>
      <c r="AV76" s="2"/>
      <c r="AW76" s="37"/>
      <c r="AX76" s="2"/>
      <c r="AY76" s="2"/>
      <c r="BA76" s="2"/>
    </row>
  </sheetData>
  <sortState xmlns:xlrd2="http://schemas.microsoft.com/office/spreadsheetml/2017/richdata2" ref="AT13:AZ29">
    <sortCondition ref="AW13:AW29"/>
  </sortState>
  <customSheetViews>
    <customSheetView guid="{263BB8BC-7D4A-4DD9-8EF6-04E65A564ED4}" showPageBreaks="1" fitToPage="1" printArea="1" hiddenRows="1" view="pageLayout" topLeftCell="A47">
      <selection sqref="A1:AH71"/>
      <rowBreaks count="1" manualBreakCount="1">
        <brk id="36" max="16383" man="1"/>
      </rowBreaks>
      <pageMargins left="0" right="0" top="0" bottom="0" header="0" footer="0"/>
      <pageSetup paperSize="9" scale="86" fitToHeight="0" orientation="landscape" r:id="rId1"/>
      <headerFooter>
        <oddFooter>&amp;L&amp;F&amp;C&amp;D&amp;R&amp;P - &amp;N</oddFooter>
      </headerFooter>
    </customSheetView>
  </customSheetViews>
  <mergeCells count="137">
    <mergeCell ref="AW10:AX10"/>
    <mergeCell ref="AU30:AY31"/>
    <mergeCell ref="AK8:AK9"/>
    <mergeCell ref="AL8:AL9"/>
    <mergeCell ref="AZ30:AZ31"/>
    <mergeCell ref="A20:A21"/>
    <mergeCell ref="AF16:AF17"/>
    <mergeCell ref="AG16:AG17"/>
    <mergeCell ref="A18:A19"/>
    <mergeCell ref="AG14:AG15"/>
    <mergeCell ref="A16:A17"/>
    <mergeCell ref="A14:A15"/>
    <mergeCell ref="AW11:AX11"/>
    <mergeCell ref="AD3:AG3"/>
    <mergeCell ref="A3:H3"/>
    <mergeCell ref="A4:H4"/>
    <mergeCell ref="M6:T6"/>
    <mergeCell ref="B6:I6"/>
    <mergeCell ref="U6:AC6"/>
    <mergeCell ref="AD6:AH6"/>
    <mergeCell ref="AE12:AE13"/>
    <mergeCell ref="AF12:AF13"/>
    <mergeCell ref="AG12:AG13"/>
    <mergeCell ref="AG10:AG11"/>
    <mergeCell ref="A12:A13"/>
    <mergeCell ref="Y3:AC3"/>
    <mergeCell ref="A7:A9"/>
    <mergeCell ref="B8:AF8"/>
    <mergeCell ref="B7:AF7"/>
    <mergeCell ref="A10:A11"/>
    <mergeCell ref="Y4:AC4"/>
    <mergeCell ref="AD4:AH4"/>
    <mergeCell ref="AG34:AG35"/>
    <mergeCell ref="O34:AF35"/>
    <mergeCell ref="A1:AH2"/>
    <mergeCell ref="I3:X3"/>
    <mergeCell ref="I4:X4"/>
    <mergeCell ref="J6:L6"/>
    <mergeCell ref="A5:AH5"/>
    <mergeCell ref="AG32:AG33"/>
    <mergeCell ref="AG30:AG31"/>
    <mergeCell ref="A32:A33"/>
    <mergeCell ref="AF30:AF31"/>
    <mergeCell ref="A30:A31"/>
    <mergeCell ref="AG28:AG29"/>
    <mergeCell ref="AG26:AG27"/>
    <mergeCell ref="A28:A29"/>
    <mergeCell ref="AF26:AF27"/>
    <mergeCell ref="AG24:AG25"/>
    <mergeCell ref="A26:A27"/>
    <mergeCell ref="AG22:AG23"/>
    <mergeCell ref="A24:A25"/>
    <mergeCell ref="A22:A23"/>
    <mergeCell ref="AF20:AF21"/>
    <mergeCell ref="AG20:AG21"/>
    <mergeCell ref="AG18:AG19"/>
    <mergeCell ref="A70:AH70"/>
    <mergeCell ref="A71:AH71"/>
    <mergeCell ref="A37:AF37"/>
    <mergeCell ref="AD38:AF38"/>
    <mergeCell ref="AA38:AC38"/>
    <mergeCell ref="AD39:AF39"/>
    <mergeCell ref="A64:AH64"/>
    <mergeCell ref="A65:AH65"/>
    <mergeCell ref="A66:AH66"/>
    <mergeCell ref="A67:AH67"/>
    <mergeCell ref="A68:AH68"/>
    <mergeCell ref="A69:AH69"/>
    <mergeCell ref="A61:AH61"/>
    <mergeCell ref="A60:AH60"/>
    <mergeCell ref="A62:AH62"/>
    <mergeCell ref="A63:AH63"/>
    <mergeCell ref="AD40:AF40"/>
    <mergeCell ref="AD41:AF41"/>
    <mergeCell ref="AD42:AF42"/>
    <mergeCell ref="AD43:AF43"/>
    <mergeCell ref="R40:T40"/>
    <mergeCell ref="U40:W40"/>
    <mergeCell ref="X40:Z40"/>
    <mergeCell ref="O41:Q41"/>
    <mergeCell ref="AD44:AF44"/>
    <mergeCell ref="AD45:AF45"/>
    <mergeCell ref="AA39:AC39"/>
    <mergeCell ref="AA40:AC40"/>
    <mergeCell ref="AA41:AC41"/>
    <mergeCell ref="AA42:AC42"/>
    <mergeCell ref="AA43:AC43"/>
    <mergeCell ref="AA44:AC44"/>
    <mergeCell ref="AA45:AC45"/>
    <mergeCell ref="Z58:AH58"/>
    <mergeCell ref="Z56:AH57"/>
    <mergeCell ref="A58:K58"/>
    <mergeCell ref="T56:Y57"/>
    <mergeCell ref="N38:Z38"/>
    <mergeCell ref="A38:D38"/>
    <mergeCell ref="E38:G38"/>
    <mergeCell ref="H38:M38"/>
    <mergeCell ref="A52:T52"/>
    <mergeCell ref="A53:N53"/>
    <mergeCell ref="O53:Q53"/>
    <mergeCell ref="R53:T53"/>
    <mergeCell ref="A45:W45"/>
    <mergeCell ref="X45:Z45"/>
    <mergeCell ref="O49:Q49"/>
    <mergeCell ref="R49:T49"/>
    <mergeCell ref="A48:N48"/>
    <mergeCell ref="A47:T47"/>
    <mergeCell ref="B50:N50"/>
    <mergeCell ref="O50:T50"/>
    <mergeCell ref="O48:Q48"/>
    <mergeCell ref="R48:T48"/>
    <mergeCell ref="B49:N49"/>
    <mergeCell ref="O43:Q43"/>
    <mergeCell ref="O54:Q54"/>
    <mergeCell ref="R54:T54"/>
    <mergeCell ref="A54:N54"/>
    <mergeCell ref="R43:T43"/>
    <mergeCell ref="U43:W43"/>
    <mergeCell ref="X43:Z43"/>
    <mergeCell ref="B39:N39"/>
    <mergeCell ref="B40:N40"/>
    <mergeCell ref="B41:N41"/>
    <mergeCell ref="B42:N42"/>
    <mergeCell ref="B43:N43"/>
    <mergeCell ref="R41:T41"/>
    <mergeCell ref="U41:W41"/>
    <mergeCell ref="X41:Z41"/>
    <mergeCell ref="O42:Q42"/>
    <mergeCell ref="R42:T42"/>
    <mergeCell ref="U42:W42"/>
    <mergeCell ref="X42:Z42"/>
    <mergeCell ref="X39:Z39"/>
    <mergeCell ref="U39:W39"/>
    <mergeCell ref="R39:T39"/>
    <mergeCell ref="B44:Z44"/>
    <mergeCell ref="O39:Q39"/>
    <mergeCell ref="O40:Q40"/>
  </mergeCells>
  <conditionalFormatting sqref="B12:AD12">
    <cfRule type="expression" dxfId="48" priority="95">
      <formula>B12&gt;=7</formula>
    </cfRule>
    <cfRule type="expression" dxfId="47" priority="93">
      <formula>B12=1</formula>
    </cfRule>
  </conditionalFormatting>
  <conditionalFormatting sqref="B13:AD13">
    <cfRule type="expression" dxfId="46" priority="107">
      <formula>B12&gt;=7</formula>
    </cfRule>
    <cfRule type="expression" dxfId="45" priority="106">
      <formula>B12=1</formula>
    </cfRule>
  </conditionalFormatting>
  <conditionalFormatting sqref="B16:AE16">
    <cfRule type="expression" dxfId="44" priority="69">
      <formula>B16=1</formula>
    </cfRule>
    <cfRule type="expression" dxfId="43" priority="70">
      <formula>B16&gt;=7</formula>
    </cfRule>
  </conditionalFormatting>
  <conditionalFormatting sqref="B17:AE17">
    <cfRule type="expression" dxfId="42" priority="73">
      <formula>B16=1</formula>
    </cfRule>
    <cfRule type="expression" dxfId="41" priority="74">
      <formula>B16&gt;=7</formula>
    </cfRule>
  </conditionalFormatting>
  <conditionalFormatting sqref="B20:AE20">
    <cfRule type="expression" dxfId="40" priority="54">
      <formula>B20&gt;=7</formula>
    </cfRule>
    <cfRule type="expression" dxfId="39" priority="53">
      <formula>B20=1</formula>
    </cfRule>
  </conditionalFormatting>
  <conditionalFormatting sqref="B21:AE21">
    <cfRule type="expression" dxfId="38" priority="57">
      <formula>B20=1</formula>
    </cfRule>
    <cfRule type="expression" dxfId="37" priority="58">
      <formula>B20&gt;=7</formula>
    </cfRule>
  </conditionalFormatting>
  <conditionalFormatting sqref="B26:AE26">
    <cfRule type="expression" dxfId="36" priority="29">
      <formula>B26=1</formula>
    </cfRule>
    <cfRule type="expression" dxfId="35" priority="30">
      <formula>B26&gt;=7</formula>
    </cfRule>
  </conditionalFormatting>
  <conditionalFormatting sqref="B27:AE27">
    <cfRule type="expression" dxfId="34" priority="33">
      <formula>B26=1</formula>
    </cfRule>
    <cfRule type="expression" dxfId="33" priority="34">
      <formula>B26&gt;=7</formula>
    </cfRule>
  </conditionalFormatting>
  <conditionalFormatting sqref="B30:AE30">
    <cfRule type="expression" dxfId="32" priority="22">
      <formula>B30&gt;=7</formula>
    </cfRule>
    <cfRule type="expression" dxfId="31" priority="21">
      <formula>B30=1</formula>
    </cfRule>
  </conditionalFormatting>
  <conditionalFormatting sqref="B31:AE31">
    <cfRule type="expression" dxfId="30" priority="25">
      <formula>B30=1</formula>
    </cfRule>
    <cfRule type="expression" dxfId="29" priority="26">
      <formula>B30&gt;=7</formula>
    </cfRule>
  </conditionalFormatting>
  <conditionalFormatting sqref="B10:AF10">
    <cfRule type="expression" dxfId="28" priority="96">
      <formula>B10=1</formula>
    </cfRule>
    <cfRule type="expression" dxfId="27" priority="98">
      <formula>B10&gt;=7</formula>
    </cfRule>
  </conditionalFormatting>
  <conditionalFormatting sqref="B11:AF11">
    <cfRule type="expression" dxfId="26" priority="86">
      <formula>B10&gt;=7</formula>
    </cfRule>
    <cfRule type="expression" dxfId="25" priority="91">
      <formula>B10=1</formula>
    </cfRule>
  </conditionalFormatting>
  <conditionalFormatting sqref="B14:AF14">
    <cfRule type="expression" dxfId="24" priority="77">
      <formula>B14=1</formula>
    </cfRule>
    <cfRule type="expression" dxfId="23" priority="78">
      <formula>B14&gt;=7</formula>
    </cfRule>
  </conditionalFormatting>
  <conditionalFormatting sqref="B15:AF15">
    <cfRule type="expression" dxfId="22" priority="81">
      <formula>B14=1</formula>
    </cfRule>
    <cfRule type="expression" dxfId="21" priority="82">
      <formula>B14&gt;=7</formula>
    </cfRule>
  </conditionalFormatting>
  <conditionalFormatting sqref="B18:AF18">
    <cfRule type="expression" dxfId="20" priority="61">
      <formula>B18=1</formula>
    </cfRule>
    <cfRule type="expression" dxfId="19" priority="62">
      <formula>B18&gt;=7</formula>
    </cfRule>
  </conditionalFormatting>
  <conditionalFormatting sqref="B19:AF19">
    <cfRule type="expression" dxfId="18" priority="65">
      <formula>B18=1</formula>
    </cfRule>
    <cfRule type="expression" dxfId="17" priority="66">
      <formula>B18&gt;=7</formula>
    </cfRule>
  </conditionalFormatting>
  <conditionalFormatting sqref="B22:AF22">
    <cfRule type="expression" dxfId="16" priority="46">
      <formula>B22&gt;=7</formula>
    </cfRule>
    <cfRule type="expression" dxfId="15" priority="45">
      <formula>B22=1</formula>
    </cfRule>
  </conditionalFormatting>
  <conditionalFormatting sqref="B23:AF23">
    <cfRule type="expression" dxfId="14" priority="50">
      <formula>B22&gt;=7</formula>
    </cfRule>
    <cfRule type="expression" dxfId="13" priority="49">
      <formula>B22=1</formula>
    </cfRule>
  </conditionalFormatting>
  <conditionalFormatting sqref="B24:AF24">
    <cfRule type="expression" dxfId="12" priority="37">
      <formula>B24=1</formula>
    </cfRule>
    <cfRule type="expression" dxfId="11" priority="38">
      <formula>B24&gt;=7</formula>
    </cfRule>
  </conditionalFormatting>
  <conditionalFormatting sqref="B25:AF25">
    <cfRule type="expression" dxfId="10" priority="1">
      <formula>B24=1</formula>
    </cfRule>
    <cfRule type="expression" dxfId="9" priority="2">
      <formula>B24&gt;=7</formula>
    </cfRule>
  </conditionalFormatting>
  <conditionalFormatting sqref="B28:AF28">
    <cfRule type="expression" dxfId="8" priority="14">
      <formula>B28&gt;=7</formula>
    </cfRule>
    <cfRule type="expression" dxfId="7" priority="13">
      <formula>B28=1</formula>
    </cfRule>
  </conditionalFormatting>
  <conditionalFormatting sqref="B29:AF29">
    <cfRule type="expression" dxfId="6" priority="18">
      <formula>B28&gt;=7</formula>
    </cfRule>
    <cfRule type="expression" dxfId="5" priority="17">
      <formula>B28=1</formula>
    </cfRule>
  </conditionalFormatting>
  <conditionalFormatting sqref="B32:AF32">
    <cfRule type="expression" dxfId="4" priority="6">
      <formula>B32&gt;=7</formula>
    </cfRule>
    <cfRule type="expression" dxfId="3" priority="5">
      <formula>B32=1</formula>
    </cfRule>
  </conditionalFormatting>
  <conditionalFormatting sqref="B33:AF33">
    <cfRule type="expression" dxfId="2" priority="10">
      <formula>B32&gt;=7</formula>
    </cfRule>
    <cfRule type="expression" dxfId="1" priority="9">
      <formula>B32=1</formula>
    </cfRule>
  </conditionalFormatting>
  <conditionalFormatting sqref="AD12:AD13">
    <cfRule type="expression" dxfId="0" priority="108">
      <formula>$AH$3=0</formula>
    </cfRule>
  </conditionalFormatting>
  <dataValidations count="1">
    <dataValidation type="list" allowBlank="1" showInputMessage="1" showErrorMessage="1" sqref="AD4" xr:uid="{3A67CA06-6CDA-47A6-9AA6-811A5B494A00}">
      <formula1>$AS$40:$AS$55</formula1>
    </dataValidation>
  </dataValidations>
  <pageMargins left="0" right="0" top="0" bottom="0" header="0" footer="0"/>
  <pageSetup paperSize="9" scale="76" fitToHeight="0" orientation="landscape" r:id="rId2"/>
  <rowBreaks count="1" manualBreakCount="1">
    <brk id="36" max="16383" man="1"/>
  </rowBreaks>
  <ignoredErrors>
    <ignoredError sqref="AF30:AF31 AF26:AF27 AF20:AF21 AF16:AF17 AD12:AF12 B19:AF19 C11:AF11 B31 D17:F17 B13:F13 H13:AF13 H17:V17 B15:R15 T15:AF15 X17:AE17" unlockedFormula="1"/>
    <ignoredError sqref="AW22:AX22" formula="1"/>
    <ignoredError sqref="AO14:AP14 AO25:AR29 AO24:AP24 AR24 AR14:AR23 AO16:AP23 AP15"/>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C3277064969C648B4B388B3EF6677A1" ma:contentTypeVersion="21" ma:contentTypeDescription="Ein neues Dokument erstellen." ma:contentTypeScope="" ma:versionID="755dff11402872183bc692b327197892">
  <xsd:schema xmlns:xsd="http://www.w3.org/2001/XMLSchema" xmlns:xs="http://www.w3.org/2001/XMLSchema" xmlns:p="http://schemas.microsoft.com/office/2006/metadata/properties" xmlns:ns2="aaf634d5-3b14-4b2e-9e8a-d5e4de058a1f" xmlns:ns3="d773664d-3496-4791-87fd-7864084b790e" targetNamespace="http://schemas.microsoft.com/office/2006/metadata/properties" ma:root="true" ma:fieldsID="a9faaf0febccef147102967eb6808013" ns2:_="" ns3:_="">
    <xsd:import namespace="aaf634d5-3b14-4b2e-9e8a-d5e4de058a1f"/>
    <xsd:import namespace="d773664d-3496-4791-87fd-7864084b790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Pojekttitel"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f634d5-3b14-4b2e-9e8a-d5e4de058a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Pojekttitel" ma:index="20" nillable="true" ma:displayName="Projekttitel" ma:format="Dropdown" ma:internalName="Pojekttitel">
      <xsd:simpleType>
        <xsd:restriction base="dms:Text">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Bildmarkierungen" ma:readOnly="false" ma:fieldId="{5cf76f15-5ced-4ddc-b409-7134ff3c332f}" ma:taxonomyMulti="true" ma:sspId="e1a36da9-33b6-40a4-934e-51b733e4b04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73664d-3496-4791-87fd-7864084b790e" elementFormDefault="qualified">
    <xsd:import namespace="http://schemas.microsoft.com/office/2006/documentManagement/types"/>
    <xsd:import namespace="http://schemas.microsoft.com/office/infopath/2007/PartnerControls"/>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element name="TaxCatchAll" ma:index="22" nillable="true" ma:displayName="Taxonomy Catch All Column" ma:hidden="true" ma:list="{a4695b2d-7a83-4917-a219-5d660d14d8eb}" ma:internalName="TaxCatchAll" ma:showField="CatchAllData" ma:web="d773664d-3496-4791-87fd-7864084b79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ojekttitel xmlns="aaf634d5-3b14-4b2e-9e8a-d5e4de058a1f" xsi:nil="true"/>
    <TaxCatchAll xmlns="d773664d-3496-4791-87fd-7864084b790e" xsi:nil="true"/>
    <lcf76f155ced4ddcb4097134ff3c332f xmlns="aaf634d5-3b14-4b2e-9e8a-d5e4de058a1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C7C122-7BD2-4019-B750-C18FE818D2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f634d5-3b14-4b2e-9e8a-d5e4de058a1f"/>
    <ds:schemaRef ds:uri="d773664d-3496-4791-87fd-7864084b79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8ACEC69-B141-4E17-BC68-1F734A38FB8A}">
  <ds:schemaRefs>
    <ds:schemaRef ds:uri="http://www.w3.org/XML/1998/namespace"/>
    <ds:schemaRef ds:uri="http://schemas.microsoft.com/office/2006/documentManagement/types"/>
    <ds:schemaRef ds:uri="http://purl.org/dc/dcmitype/"/>
    <ds:schemaRef ds:uri="aaf634d5-3b14-4b2e-9e8a-d5e4de058a1f"/>
    <ds:schemaRef ds:uri="http://purl.org/dc/terms/"/>
    <ds:schemaRef ds:uri="d773664d-3496-4791-87fd-7864084b790e"/>
    <ds:schemaRef ds:uri="http://purl.org/dc/elements/1.1/"/>
    <ds:schemaRef ds:uri="http://schemas.microsoft.com/office/2006/metadata/properties"/>
    <ds:schemaRef ds:uri="http://schemas.openxmlformats.org/package/2006/metadata/core-properties"/>
    <ds:schemaRef ds:uri="http://schemas.microsoft.com/office/infopath/2007/PartnerControls"/>
  </ds:schemaRefs>
</ds:datastoreItem>
</file>

<file path=customXml/itemProps3.xml><?xml version="1.0" encoding="utf-8"?>
<ds:datastoreItem xmlns:ds="http://schemas.openxmlformats.org/officeDocument/2006/customXml" ds:itemID="{9BB6DB75-B68B-46AA-9AE1-8A34269744C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MA1</vt:lpstr>
      <vt:lpstr>'MA1'!Druckbereich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Ditscherlein</dc:creator>
  <cp:keywords/>
  <dc:description/>
  <cp:lastModifiedBy>Martin Ditscherlein</cp:lastModifiedBy>
  <cp:revision/>
  <dcterms:created xsi:type="dcterms:W3CDTF">2021-12-14T14:20:42Z</dcterms:created>
  <dcterms:modified xsi:type="dcterms:W3CDTF">2025-12-11T15:26:12Z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0x0101008C3277064969C648B4B388B3EF6677A1</vt:lpwstr>
  </property>
  <property fmtid="{D5CDD505-2E9C-101B-9397-08002B2CF9AE}" pid="3" name="MediaServiceImageTags">
    <vt:lpwstr/>
  </property>
</Properties>
</file>