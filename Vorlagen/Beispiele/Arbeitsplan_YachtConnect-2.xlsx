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04"/>
  <workbookPr filterPrivacy="1"/>
  <xr:revisionPtr revIDLastSave="0" documentId="8_{D8F362AB-8C7F-F544-8AC0-4ECE0C247071}" xr6:coauthVersionLast="47" xr6:coauthVersionMax="47" xr10:uidLastSave="{00000000-0000-0000-0000-000000000000}"/>
  <bookViews>
    <workbookView xWindow="15120" yWindow="-21000" windowWidth="38400" windowHeight="21000" xr2:uid="{00000000-000D-0000-FFFF-FFFF00000000}"/>
  </bookViews>
  <sheets>
    <sheet name="Arbeitspl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9" i="1" l="1"/>
  <c r="G59" i="1"/>
  <c r="H59" i="1"/>
  <c r="F32" i="1"/>
  <c r="G32" i="1"/>
  <c r="H32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32" i="1" l="1"/>
  <c r="I59" i="1"/>
</calcChain>
</file>

<file path=xl/sharedStrings.xml><?xml version="1.0" encoding="utf-8"?>
<sst xmlns="http://schemas.openxmlformats.org/spreadsheetml/2006/main" count="327" uniqueCount="94">
  <si>
    <t>Projekt: ZIM Innovationsnetzwerk Yacht Connect</t>
  </si>
  <si>
    <t>T</t>
  </si>
  <si>
    <t>MA-Nr 1</t>
  </si>
  <si>
    <t>MA-Nr 2</t>
  </si>
  <si>
    <t>MA-Nr 3</t>
  </si>
  <si>
    <t>Summe</t>
  </si>
  <si>
    <t>FKZ: 16KN124502</t>
  </si>
  <si>
    <t>K. Kirchner</t>
  </si>
  <si>
    <t>M. Ditscherlein</t>
  </si>
  <si>
    <t>L. Kirchner</t>
  </si>
  <si>
    <t>AP</t>
  </si>
  <si>
    <t>Beschreibung</t>
  </si>
  <si>
    <t>von</t>
  </si>
  <si>
    <t>bis</t>
  </si>
  <si>
    <t>PM</t>
  </si>
  <si>
    <t>1</t>
  </si>
  <si>
    <t>01.01.2025</t>
  </si>
  <si>
    <t/>
  </si>
  <si>
    <t>Weiterentwicklung Netzwerkkonzeption</t>
  </si>
  <si>
    <t>1.1</t>
  </si>
  <si>
    <t>fortlaufende Weiterentwicklung der Strategie zur  Neuaufnahme von NW-Partnern</t>
  </si>
  <si>
    <t>01.08.2025</t>
  </si>
  <si>
    <t>31.08.2025</t>
  </si>
  <si>
    <t>1.2</t>
  </si>
  <si>
    <t>Selektion strategisch ergänzender und synergieversprechender neuer Netzwerkpartner; Erschließung von Synergieeffekten und Vorteilen in der Zusammenarbeit im Netzwerk</t>
  </si>
  <si>
    <t>1.3</t>
  </si>
  <si>
    <t xml:space="preserve">Analyse der neuen NW-Partner </t>
  </si>
  <si>
    <t>2</t>
  </si>
  <si>
    <t>Markt-, Wettbewerbs-, Technologie- und Kundenanalyse</t>
  </si>
  <si>
    <t>2.1</t>
  </si>
  <si>
    <t>Analyse neuer und bereits akquirierter Netzwerkpartner zur technologischen Leistungsfähigkeit</t>
  </si>
  <si>
    <t>01.09.2025</t>
  </si>
  <si>
    <t>30.08.2026</t>
  </si>
  <si>
    <t>2.2</t>
  </si>
  <si>
    <t>Analyse neuer und bereits akquirierter Netzwerkpartner der vorhandenen Potenziale in Forschung und Entwicklung</t>
  </si>
  <si>
    <t>30.09.2026</t>
  </si>
  <si>
    <t>2.3</t>
  </si>
  <si>
    <t>Akqisition und vertragliche Einbindung weiterer erforderlicher Unternehmen und Forschungseinrichtungen sowie sonstiger geeigneter Netzwerkpartner</t>
  </si>
  <si>
    <t>31.10.2026</t>
  </si>
  <si>
    <t>3</t>
  </si>
  <si>
    <t>FuE-Projekte</t>
  </si>
  <si>
    <t>3.1</t>
  </si>
  <si>
    <t>weitere Projektideen der NW-Partner sammeln, prüfen, bewerten und auswählen</t>
  </si>
  <si>
    <t>01.11.2025</t>
  </si>
  <si>
    <t>31.01.2026</t>
  </si>
  <si>
    <t>3.2</t>
  </si>
  <si>
    <t>Weiterentwichlung  der technologischen Roadmap</t>
  </si>
  <si>
    <t>3.3</t>
  </si>
  <si>
    <t>Unterstützung bei der Ausarbeitung von FuE Projektskizzen und -Förderanträgen</t>
  </si>
  <si>
    <t>3.4</t>
  </si>
  <si>
    <t>Unterstützung bei der Kommunikation mit Fördergebern und Projektträgern</t>
  </si>
  <si>
    <t>3.5</t>
  </si>
  <si>
    <t>Durchführung von Marken- und Schutzrechtsanalysen</t>
  </si>
  <si>
    <t>3.6</t>
  </si>
  <si>
    <t>Unterstützung bei der Patentbeantragung und WIPANO-Anträgen</t>
  </si>
  <si>
    <t>4</t>
  </si>
  <si>
    <t xml:space="preserve"> Kommunikationsstrategie</t>
  </si>
  <si>
    <t>4.1</t>
  </si>
  <si>
    <t>Weiterentwicklung der  Kommunikationsstrategie</t>
  </si>
  <si>
    <t>01.02.2026</t>
  </si>
  <si>
    <t>31.03.2026</t>
  </si>
  <si>
    <t>4.2</t>
  </si>
  <si>
    <t>Weiterentwicklung Website</t>
  </si>
  <si>
    <t>4.3</t>
  </si>
  <si>
    <t xml:space="preserve">Aufbau internationalen Social-Media-Kommunikation </t>
  </si>
  <si>
    <t>4.4</t>
  </si>
  <si>
    <t>Weiterentwicklung von Informationsmaterialien für NW</t>
  </si>
  <si>
    <t>4.5</t>
  </si>
  <si>
    <t>Vorbereitung, Organisation u. Durchführung von Online-NW-Veranstaltungen u.  Messeteilnahmen</t>
  </si>
  <si>
    <t>5</t>
  </si>
  <si>
    <t>Netzwerkmanagement</t>
  </si>
  <si>
    <t>5.1</t>
  </si>
  <si>
    <t>Entwicklung des Finanzierungskonzeptes zur nachhaltigen Fortführung des Netzwerkes</t>
  </si>
  <si>
    <t>01.04.2026</t>
  </si>
  <si>
    <t>31.07.2026</t>
  </si>
  <si>
    <t>5.2</t>
  </si>
  <si>
    <t>Management, Koordinierung, Moderation der Netzwerkprozesse</t>
  </si>
  <si>
    <t>5.3</t>
  </si>
  <si>
    <t>Projektcontrolling, Auswertung und Ableitung von Umsetzungsmaßnahmen</t>
  </si>
  <si>
    <t>5.4</t>
  </si>
  <si>
    <t>Weiterentwicklung Netzwerkstrategie</t>
  </si>
  <si>
    <t>5.5</t>
  </si>
  <si>
    <t>Evaluierung der Projekte im Netzwerk</t>
  </si>
  <si>
    <t>Hinweise:</t>
  </si>
  <si>
    <t>- AP-Nr.: Format 1, 1.1, 2.1.3 etc. (entsprechend Anlage 6.2 des Antrags)</t>
  </si>
  <si>
    <t>- von/bis: Datum im Format TT.MM.JJJJ</t>
  </si>
  <si>
    <t>- T: "X" fuer technisches AP (ZIM-Durchfuehrbarkeitsstudie), leer fuer nicht-technisch</t>
  </si>
  <si>
    <t>- PM: Personenmonate als Dezimalzahl (z.B. 1,5)</t>
  </si>
  <si>
    <t>- AP Summe PM: Wird automatisch berechnet</t>
  </si>
  <si>
    <t>- Leere PM-Zellen werden als 0 interpretiert</t>
  </si>
  <si>
    <t>- Die gelbe Beispielzeile vor dem Upload loeschen!</t>
  </si>
  <si>
    <t>Foerderformat: ZIM_NETZWERK</t>
  </si>
  <si>
    <t>Team: 3 Mitarbeiter</t>
  </si>
  <si>
    <t>Jahr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</si>
</sst>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7" formatCode="0.000"/>
  </numFmts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666666"/>
      <name val="Calibri"/>
      <family val="2"/>
      <scheme val="minor"/>
    </font>
    <font>
      <b/>
      <sz val="14"/>
      <color rgb="FF66666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D9EAD3"/>
      </patternFill>
    </fill>
  </fills>
  <borders count="3">
    <border>
      <left/>
      <right/>
      <top/>
      <bottom/>
      <diagonal/>
    </border>
    <border>
      <left/>
      <right/>
      <top/>
      <bottom style="thin">
        <color rgb="FF999999"/>
      </bottom>
      <diagonal/>
    </border>
    <border>
      <left/>
      <right/>
      <top style="thin">
        <color rgb="FF999999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3" borderId="2" xfId="0" applyFont="1" applyFill="1" applyBorder="1"/>
    <xf numFmtId="0" fontId="2" fillId="0" borderId="0" xfId="0" applyFont="1" applyFill="1" applyBorder="1"/>
    <xf numFmtId="0" fontId="3" fillId="0" borderId="0" xfId="0" applyFont="1" applyFill="1"/>
    <xf numFmtId="0" fontId="5" fillId="0" borderId="0" xfId="0" applyFont="1"/>
    <xf numFmtId="164" fontId="2" fillId="2" borderId="1" xfId="0" applyNumberFormat="1" applyFont="1" applyFill="1" applyBorder="1" applyAlignment="1">
      <alignment horizontal="center"/>
    </xf>
    <xf numFmtId="164" fontId="2" fillId="2" borderId="0" xfId="0" applyNumberFormat="1" applyFont="1" applyFill="1" applyBorder="1" applyAlignment="1">
      <alignment horizontal="center"/>
    </xf>
    <xf numFmtId="164" fontId="3" fillId="0" borderId="0" xfId="0" applyNumberFormat="1" applyFont="1"/>
    <xf numFmtId="164" fontId="2" fillId="3" borderId="2" xfId="0" applyNumberFormat="1" applyFont="1" applyFill="1" applyBorder="1"/>
    <xf numFmtId="164" fontId="3" fillId="0" borderId="0" xfId="0" applyNumberFormat="1" applyFont="1" applyFill="1"/>
    <xf numFmtId="0" fontId="2" fillId="2" borderId="1" xfId="0" applyFont="1" applyFill="1" applyBorder="1" applyAlignment="1">
      <alignment horizontal="left" wrapText="1"/>
    </xf>
    <xf numFmtId="0" fontId="2" fillId="2" borderId="0" xfId="0" applyFont="1" applyFill="1" applyBorder="1" applyAlignment="1">
      <alignment horizontal="left" wrapText="1"/>
    </xf>
    <xf numFmtId="0" fontId="3" fillId="0" borderId="0" xfId="0" applyFont="1" applyAlignment="1">
      <alignment wrapText="1"/>
    </xf>
    <xf numFmtId="0" fontId="2" fillId="3" borderId="2" xfId="0" applyFont="1" applyFill="1" applyBorder="1" applyAlignment="1">
      <alignment wrapText="1"/>
    </xf>
    <xf numFmtId="0" fontId="2" fillId="0" borderId="0" xfId="0" applyFont="1" applyFill="1" applyBorder="1" applyAlignment="1">
      <alignment wrapText="1"/>
    </xf>
    <xf numFmtId="0" fontId="3" fillId="0" borderId="0" xfId="0" applyFont="1" applyAlignment="1">
      <alignment horizontal="left" wrapText="1"/>
    </xf>
    <xf numFmtId="167" fontId="2" fillId="3" borderId="2" xfId="0" applyNumberFormat="1" applyFont="1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4"/>
  <sheetViews>
    <sheetView tabSelected="1" workbookViewId="0">
      <pane xSplit="1" ySplit="3" topLeftCell="B34" activePane="bottomRight" state="frozen"/>
      <selection pane="topRight" activeCell="B1" sqref="B1"/>
      <selection pane="bottomLeft" activeCell="A4" sqref="A4"/>
      <selection pane="bottomRight" activeCell="F57" sqref="F57"/>
    </sheetView>
  </sheetViews>
  <sheetFormatPr baseColWidth="10" defaultColWidth="8.83203125" defaultRowHeight="23" customHeight="1" x14ac:dyDescent="0.25"/>
  <cols>
    <col min="1" max="1" width="8.5" style="3" bestFit="1" customWidth="1"/>
    <col min="2" max="2" width="94" style="19" customWidth="1"/>
    <col min="3" max="4" width="11.83203125" style="14" bestFit="1" customWidth="1"/>
    <col min="5" max="5" width="2.33203125" style="3" bestFit="1" customWidth="1"/>
    <col min="6" max="6" width="11.33203125" style="3" bestFit="1" customWidth="1"/>
    <col min="7" max="7" width="15.5" style="3" bestFit="1" customWidth="1"/>
    <col min="8" max="8" width="11.1640625" style="3" bestFit="1" customWidth="1"/>
    <col min="9" max="9" width="8.5" style="3" bestFit="1" customWidth="1"/>
    <col min="10" max="16384" width="8.83203125" style="3"/>
  </cols>
  <sheetData>
    <row r="1" spans="1:9" ht="23" customHeight="1" x14ac:dyDescent="0.25">
      <c r="A1" s="1" t="s">
        <v>0</v>
      </c>
      <c r="B1" s="1"/>
      <c r="C1" s="1"/>
      <c r="D1" s="1"/>
      <c r="E1" s="2" t="s">
        <v>1</v>
      </c>
      <c r="F1" s="2" t="s">
        <v>2</v>
      </c>
      <c r="G1" s="2" t="s">
        <v>3</v>
      </c>
      <c r="H1" s="2" t="s">
        <v>4</v>
      </c>
      <c r="I1" s="2" t="s">
        <v>5</v>
      </c>
    </row>
    <row r="2" spans="1:9" ht="23" customHeight="1" x14ac:dyDescent="0.25">
      <c r="A2" s="4" t="s">
        <v>6</v>
      </c>
      <c r="B2" s="4"/>
      <c r="C2" s="4"/>
      <c r="D2" s="4"/>
      <c r="F2" s="5" t="s">
        <v>7</v>
      </c>
      <c r="G2" s="5" t="s">
        <v>8</v>
      </c>
      <c r="H2" s="5" t="s">
        <v>9</v>
      </c>
    </row>
    <row r="3" spans="1:9" ht="23" customHeight="1" x14ac:dyDescent="0.25">
      <c r="A3" s="6" t="s">
        <v>10</v>
      </c>
      <c r="B3" s="17" t="s">
        <v>11</v>
      </c>
      <c r="C3" s="12" t="s">
        <v>12</v>
      </c>
      <c r="D3" s="12" t="s">
        <v>13</v>
      </c>
      <c r="E3" s="6" t="s">
        <v>1</v>
      </c>
      <c r="F3" s="6" t="s">
        <v>14</v>
      </c>
      <c r="G3" s="6" t="s">
        <v>14</v>
      </c>
      <c r="H3" s="6" t="s">
        <v>14</v>
      </c>
      <c r="I3" s="6" t="s">
        <v>14</v>
      </c>
    </row>
    <row r="4" spans="1:9" ht="23" customHeight="1" x14ac:dyDescent="0.25">
      <c r="A4" s="7" t="s">
        <v>93</v>
      </c>
      <c r="B4" s="18"/>
      <c r="C4" s="13"/>
      <c r="D4" s="13"/>
      <c r="E4" s="7"/>
      <c r="F4" s="7"/>
      <c r="G4" s="7"/>
      <c r="H4" s="7"/>
      <c r="I4" s="7"/>
    </row>
    <row r="5" spans="1:9" ht="23" customHeight="1" x14ac:dyDescent="0.25">
      <c r="A5" s="3" t="s">
        <v>15</v>
      </c>
      <c r="B5" s="19" t="s">
        <v>18</v>
      </c>
      <c r="C5" s="14" t="s">
        <v>17</v>
      </c>
      <c r="D5" s="14" t="s">
        <v>17</v>
      </c>
      <c r="E5" s="3" t="s">
        <v>17</v>
      </c>
      <c r="F5" s="3" t="s">
        <v>17</v>
      </c>
      <c r="G5" s="3" t="s">
        <v>17</v>
      </c>
      <c r="H5" s="3" t="s">
        <v>17</v>
      </c>
      <c r="I5" s="3">
        <f t="shared" ref="I5:I31" si="0">SUM(F5:H5)</f>
        <v>0</v>
      </c>
    </row>
    <row r="6" spans="1:9" ht="23" customHeight="1" x14ac:dyDescent="0.25">
      <c r="A6" s="3" t="s">
        <v>19</v>
      </c>
      <c r="B6" s="19" t="s">
        <v>20</v>
      </c>
      <c r="C6" s="14" t="s">
        <v>21</v>
      </c>
      <c r="D6" s="14" t="s">
        <v>22</v>
      </c>
      <c r="E6" s="3" t="s">
        <v>17</v>
      </c>
      <c r="F6" s="3">
        <v>0.125</v>
      </c>
      <c r="G6" s="3">
        <v>0.5</v>
      </c>
      <c r="H6" s="3" t="s">
        <v>17</v>
      </c>
      <c r="I6" s="3">
        <f t="shared" si="0"/>
        <v>0.625</v>
      </c>
    </row>
    <row r="7" spans="1:9" ht="23" customHeight="1" x14ac:dyDescent="0.25">
      <c r="A7" s="3" t="s">
        <v>23</v>
      </c>
      <c r="B7" s="19" t="s">
        <v>24</v>
      </c>
      <c r="C7" s="14" t="s">
        <v>21</v>
      </c>
      <c r="D7" s="14" t="s">
        <v>22</v>
      </c>
      <c r="E7" s="3" t="s">
        <v>17</v>
      </c>
      <c r="F7" s="3">
        <v>0.125</v>
      </c>
      <c r="G7" s="3">
        <v>0.25</v>
      </c>
      <c r="H7" s="3" t="s">
        <v>17</v>
      </c>
      <c r="I7" s="3">
        <f t="shared" si="0"/>
        <v>0.375</v>
      </c>
    </row>
    <row r="8" spans="1:9" ht="23" customHeight="1" x14ac:dyDescent="0.25">
      <c r="A8" s="3" t="s">
        <v>25</v>
      </c>
      <c r="B8" s="19" t="s">
        <v>26</v>
      </c>
      <c r="C8" s="14" t="s">
        <v>21</v>
      </c>
      <c r="D8" s="14" t="s">
        <v>22</v>
      </c>
      <c r="E8" s="3" t="s">
        <v>17</v>
      </c>
      <c r="F8" s="3">
        <v>0.125</v>
      </c>
      <c r="G8" s="3">
        <v>0.25</v>
      </c>
      <c r="H8" s="3" t="s">
        <v>17</v>
      </c>
      <c r="I8" s="3">
        <f t="shared" si="0"/>
        <v>0.375</v>
      </c>
    </row>
    <row r="9" spans="1:9" ht="23" customHeight="1" x14ac:dyDescent="0.25">
      <c r="A9" s="3" t="s">
        <v>27</v>
      </c>
      <c r="B9" s="19" t="s">
        <v>28</v>
      </c>
      <c r="C9" s="14" t="s">
        <v>17</v>
      </c>
      <c r="D9" s="14" t="s">
        <v>17</v>
      </c>
      <c r="E9" s="3" t="s">
        <v>17</v>
      </c>
      <c r="F9" s="3" t="s">
        <v>17</v>
      </c>
      <c r="G9" s="3" t="s">
        <v>17</v>
      </c>
      <c r="H9" s="3" t="s">
        <v>17</v>
      </c>
      <c r="I9" s="3">
        <f t="shared" si="0"/>
        <v>0</v>
      </c>
    </row>
    <row r="10" spans="1:9" ht="23" customHeight="1" x14ac:dyDescent="0.25">
      <c r="A10" s="3" t="s">
        <v>29</v>
      </c>
      <c r="B10" s="19" t="s">
        <v>30</v>
      </c>
      <c r="C10" s="14" t="s">
        <v>31</v>
      </c>
      <c r="D10" s="14" t="s">
        <v>32</v>
      </c>
      <c r="E10" s="3" t="s">
        <v>17</v>
      </c>
      <c r="F10" s="3">
        <v>0.125</v>
      </c>
      <c r="G10" s="3">
        <v>0.25</v>
      </c>
      <c r="H10" s="3" t="s">
        <v>17</v>
      </c>
      <c r="I10" s="3">
        <f t="shared" si="0"/>
        <v>0.375</v>
      </c>
    </row>
    <row r="11" spans="1:9" ht="23" customHeight="1" x14ac:dyDescent="0.25">
      <c r="A11" s="3" t="s">
        <v>33</v>
      </c>
      <c r="B11" s="19" t="s">
        <v>34</v>
      </c>
      <c r="C11" s="14" t="s">
        <v>31</v>
      </c>
      <c r="D11" s="14" t="s">
        <v>35</v>
      </c>
      <c r="E11" s="3" t="s">
        <v>17</v>
      </c>
      <c r="F11" s="3">
        <v>0.375</v>
      </c>
      <c r="G11" s="3">
        <v>0.5</v>
      </c>
      <c r="H11" s="3" t="s">
        <v>17</v>
      </c>
      <c r="I11" s="3">
        <f t="shared" si="0"/>
        <v>0.875</v>
      </c>
    </row>
    <row r="12" spans="1:9" ht="23" customHeight="1" x14ac:dyDescent="0.25">
      <c r="A12" s="3" t="s">
        <v>36</v>
      </c>
      <c r="B12" s="19" t="s">
        <v>37</v>
      </c>
      <c r="C12" s="14" t="s">
        <v>31</v>
      </c>
      <c r="D12" s="14" t="s">
        <v>38</v>
      </c>
      <c r="E12" s="3" t="s">
        <v>17</v>
      </c>
      <c r="F12" s="3">
        <v>0.375</v>
      </c>
      <c r="G12" s="3" t="s">
        <v>17</v>
      </c>
      <c r="H12" s="3" t="s">
        <v>17</v>
      </c>
      <c r="I12" s="3">
        <f t="shared" si="0"/>
        <v>0.375</v>
      </c>
    </row>
    <row r="13" spans="1:9" ht="23" customHeight="1" x14ac:dyDescent="0.25">
      <c r="A13" s="3" t="s">
        <v>39</v>
      </c>
      <c r="B13" s="19" t="s">
        <v>40</v>
      </c>
      <c r="C13" s="14" t="s">
        <v>17</v>
      </c>
      <c r="D13" s="14" t="s">
        <v>17</v>
      </c>
      <c r="E13" s="3" t="s">
        <v>17</v>
      </c>
      <c r="F13" s="3" t="s">
        <v>17</v>
      </c>
      <c r="G13" s="3" t="s">
        <v>17</v>
      </c>
      <c r="H13" s="3" t="s">
        <v>17</v>
      </c>
      <c r="I13" s="3">
        <f t="shared" si="0"/>
        <v>0</v>
      </c>
    </row>
    <row r="14" spans="1:9" ht="23" customHeight="1" x14ac:dyDescent="0.25">
      <c r="A14" s="3" t="s">
        <v>41</v>
      </c>
      <c r="B14" s="19" t="s">
        <v>42</v>
      </c>
      <c r="C14" s="14" t="s">
        <v>43</v>
      </c>
      <c r="D14" s="14" t="s">
        <v>44</v>
      </c>
      <c r="E14" s="3" t="s">
        <v>17</v>
      </c>
      <c r="F14" s="3">
        <v>0.125</v>
      </c>
      <c r="G14" s="3">
        <v>0.5</v>
      </c>
      <c r="H14" s="3" t="s">
        <v>17</v>
      </c>
      <c r="I14" s="3">
        <f t="shared" si="0"/>
        <v>0.625</v>
      </c>
    </row>
    <row r="15" spans="1:9" ht="23" customHeight="1" x14ac:dyDescent="0.25">
      <c r="A15" s="3" t="s">
        <v>45</v>
      </c>
      <c r="B15" s="19" t="s">
        <v>46</v>
      </c>
      <c r="C15" s="14" t="s">
        <v>43</v>
      </c>
      <c r="D15" s="14" t="s">
        <v>44</v>
      </c>
      <c r="E15" s="3" t="s">
        <v>17</v>
      </c>
      <c r="F15" s="3" t="s">
        <v>17</v>
      </c>
      <c r="G15" s="3">
        <v>2</v>
      </c>
      <c r="H15" s="3" t="s">
        <v>17</v>
      </c>
      <c r="I15" s="3">
        <f t="shared" si="0"/>
        <v>2</v>
      </c>
    </row>
    <row r="16" spans="1:9" ht="23" customHeight="1" x14ac:dyDescent="0.25">
      <c r="A16" s="3" t="s">
        <v>47</v>
      </c>
      <c r="B16" s="19" t="s">
        <v>48</v>
      </c>
      <c r="C16" s="14" t="s">
        <v>43</v>
      </c>
      <c r="D16" s="14" t="s">
        <v>44</v>
      </c>
      <c r="E16" s="3" t="s">
        <v>17</v>
      </c>
      <c r="F16" s="3">
        <v>0.25</v>
      </c>
      <c r="G16" s="3">
        <v>0.25</v>
      </c>
      <c r="H16" s="3" t="s">
        <v>17</v>
      </c>
      <c r="I16" s="3">
        <f t="shared" si="0"/>
        <v>0.5</v>
      </c>
    </row>
    <row r="17" spans="1:9" ht="23" customHeight="1" x14ac:dyDescent="0.25">
      <c r="A17" s="3" t="s">
        <v>49</v>
      </c>
      <c r="B17" s="19" t="s">
        <v>50</v>
      </c>
      <c r="C17" s="14" t="s">
        <v>43</v>
      </c>
      <c r="D17" s="14" t="s">
        <v>44</v>
      </c>
      <c r="E17" s="3" t="s">
        <v>17</v>
      </c>
      <c r="F17" s="3">
        <v>0.125</v>
      </c>
      <c r="G17" s="3" t="s">
        <v>17</v>
      </c>
      <c r="H17" s="3" t="s">
        <v>17</v>
      </c>
      <c r="I17" s="3">
        <f t="shared" si="0"/>
        <v>0.125</v>
      </c>
    </row>
    <row r="18" spans="1:9" ht="23" customHeight="1" x14ac:dyDescent="0.25">
      <c r="A18" s="3" t="s">
        <v>51</v>
      </c>
      <c r="B18" s="19" t="s">
        <v>52</v>
      </c>
      <c r="C18" s="14" t="s">
        <v>43</v>
      </c>
      <c r="D18" s="14" t="s">
        <v>44</v>
      </c>
      <c r="E18" s="3" t="s">
        <v>17</v>
      </c>
      <c r="F18" s="3">
        <v>0.125</v>
      </c>
      <c r="G18" s="3" t="s">
        <v>17</v>
      </c>
      <c r="H18" s="3" t="s">
        <v>17</v>
      </c>
      <c r="I18" s="3">
        <f t="shared" si="0"/>
        <v>0.125</v>
      </c>
    </row>
    <row r="19" spans="1:9" ht="23" customHeight="1" x14ac:dyDescent="0.25">
      <c r="A19" s="3" t="s">
        <v>53</v>
      </c>
      <c r="B19" s="19" t="s">
        <v>54</v>
      </c>
      <c r="C19" s="14">
        <v>45962</v>
      </c>
      <c r="D19" s="14" t="s">
        <v>44</v>
      </c>
      <c r="E19" s="3" t="s">
        <v>17</v>
      </c>
      <c r="F19" s="3">
        <v>0.125</v>
      </c>
      <c r="G19" s="3" t="s">
        <v>17</v>
      </c>
      <c r="H19" s="3" t="s">
        <v>17</v>
      </c>
      <c r="I19" s="3">
        <f t="shared" si="0"/>
        <v>0.125</v>
      </c>
    </row>
    <row r="20" spans="1:9" ht="23" customHeight="1" x14ac:dyDescent="0.25">
      <c r="A20" s="3" t="s">
        <v>55</v>
      </c>
      <c r="B20" s="19" t="s">
        <v>56</v>
      </c>
      <c r="C20" s="14" t="s">
        <v>17</v>
      </c>
      <c r="D20" s="14" t="s">
        <v>17</v>
      </c>
      <c r="E20" s="3" t="s">
        <v>17</v>
      </c>
      <c r="F20" s="3" t="s">
        <v>17</v>
      </c>
      <c r="G20" s="3" t="s">
        <v>17</v>
      </c>
      <c r="H20" s="3" t="s">
        <v>17</v>
      </c>
      <c r="I20" s="3">
        <f t="shared" si="0"/>
        <v>0</v>
      </c>
    </row>
    <row r="21" spans="1:9" ht="23" customHeight="1" x14ac:dyDescent="0.25">
      <c r="A21" s="3" t="s">
        <v>57</v>
      </c>
      <c r="B21" s="19" t="s">
        <v>58</v>
      </c>
      <c r="C21" s="14" t="s">
        <v>59</v>
      </c>
      <c r="D21" s="14" t="s">
        <v>60</v>
      </c>
      <c r="E21" s="3" t="s">
        <v>17</v>
      </c>
      <c r="F21" s="3">
        <v>0.5</v>
      </c>
      <c r="G21" s="3" t="s">
        <v>17</v>
      </c>
      <c r="H21" s="3" t="s">
        <v>17</v>
      </c>
      <c r="I21" s="3">
        <f t="shared" si="0"/>
        <v>0.5</v>
      </c>
    </row>
    <row r="22" spans="1:9" ht="23" customHeight="1" x14ac:dyDescent="0.25">
      <c r="A22" s="3" t="s">
        <v>61</v>
      </c>
      <c r="B22" s="19" t="s">
        <v>62</v>
      </c>
      <c r="C22" s="14" t="s">
        <v>59</v>
      </c>
      <c r="D22" s="14" t="s">
        <v>60</v>
      </c>
      <c r="E22" s="3" t="s">
        <v>17</v>
      </c>
      <c r="F22" s="3" t="s">
        <v>17</v>
      </c>
      <c r="G22" s="3">
        <v>1</v>
      </c>
      <c r="H22" s="3" t="s">
        <v>17</v>
      </c>
      <c r="I22" s="3">
        <f t="shared" si="0"/>
        <v>1</v>
      </c>
    </row>
    <row r="23" spans="1:9" ht="23" customHeight="1" x14ac:dyDescent="0.25">
      <c r="A23" s="3" t="s">
        <v>63</v>
      </c>
      <c r="B23" s="19" t="s">
        <v>64</v>
      </c>
      <c r="C23" s="14" t="s">
        <v>21</v>
      </c>
      <c r="D23" s="14" t="s">
        <v>60</v>
      </c>
      <c r="E23" s="3" t="s">
        <v>17</v>
      </c>
      <c r="F23" s="3">
        <v>0.25</v>
      </c>
      <c r="G23" s="3" t="s">
        <v>17</v>
      </c>
      <c r="H23" s="3">
        <v>3.9</v>
      </c>
      <c r="I23" s="3">
        <f t="shared" si="0"/>
        <v>4.1500000000000004</v>
      </c>
    </row>
    <row r="24" spans="1:9" ht="23" customHeight="1" x14ac:dyDescent="0.25">
      <c r="A24" s="3" t="s">
        <v>65</v>
      </c>
      <c r="B24" s="19" t="s">
        <v>66</v>
      </c>
      <c r="C24" s="14" t="s">
        <v>59</v>
      </c>
      <c r="D24" s="14" t="s">
        <v>60</v>
      </c>
      <c r="E24" s="3" t="s">
        <v>17</v>
      </c>
      <c r="F24" s="3" t="s">
        <v>17</v>
      </c>
      <c r="G24" s="3">
        <v>1</v>
      </c>
      <c r="H24" s="3" t="s">
        <v>17</v>
      </c>
      <c r="I24" s="3">
        <f t="shared" si="0"/>
        <v>1</v>
      </c>
    </row>
    <row r="25" spans="1:9" ht="23" customHeight="1" x14ac:dyDescent="0.25">
      <c r="A25" s="3" t="s">
        <v>67</v>
      </c>
      <c r="B25" s="19" t="s">
        <v>68</v>
      </c>
      <c r="C25" s="14" t="s">
        <v>21</v>
      </c>
      <c r="D25" s="14" t="s">
        <v>60</v>
      </c>
      <c r="E25" s="3" t="s">
        <v>17</v>
      </c>
      <c r="F25" s="3">
        <v>0.25</v>
      </c>
      <c r="G25" s="3" t="s">
        <v>17</v>
      </c>
      <c r="H25" s="3">
        <v>0.45</v>
      </c>
      <c r="I25" s="3">
        <f t="shared" si="0"/>
        <v>0.7</v>
      </c>
    </row>
    <row r="26" spans="1:9" ht="23" customHeight="1" x14ac:dyDescent="0.25">
      <c r="A26" s="3" t="s">
        <v>69</v>
      </c>
      <c r="B26" s="19" t="s">
        <v>70</v>
      </c>
      <c r="C26" s="14" t="s">
        <v>17</v>
      </c>
      <c r="D26" s="14" t="s">
        <v>17</v>
      </c>
      <c r="E26" s="3" t="s">
        <v>17</v>
      </c>
      <c r="F26" s="3" t="s">
        <v>17</v>
      </c>
      <c r="G26" s="3" t="s">
        <v>17</v>
      </c>
      <c r="H26" s="3" t="s">
        <v>17</v>
      </c>
      <c r="I26" s="3">
        <f t="shared" si="0"/>
        <v>0</v>
      </c>
    </row>
    <row r="27" spans="1:9" ht="23" customHeight="1" x14ac:dyDescent="0.25">
      <c r="A27" s="3" t="s">
        <v>71</v>
      </c>
      <c r="B27" s="19" t="s">
        <v>72</v>
      </c>
      <c r="C27" s="14" t="s">
        <v>73</v>
      </c>
      <c r="D27" s="14" t="s">
        <v>74</v>
      </c>
      <c r="E27" s="3" t="s">
        <v>17</v>
      </c>
      <c r="F27" s="3">
        <v>0.25</v>
      </c>
      <c r="G27" s="3">
        <v>1</v>
      </c>
      <c r="H27" s="3" t="s">
        <v>17</v>
      </c>
      <c r="I27" s="3">
        <f t="shared" si="0"/>
        <v>1.25</v>
      </c>
    </row>
    <row r="28" spans="1:9" ht="23" customHeight="1" x14ac:dyDescent="0.25">
      <c r="A28" s="3" t="s">
        <v>75</v>
      </c>
      <c r="B28" s="19" t="s">
        <v>76</v>
      </c>
      <c r="C28" s="14" t="s">
        <v>73</v>
      </c>
      <c r="D28" s="14" t="s">
        <v>74</v>
      </c>
      <c r="E28" s="3" t="s">
        <v>17</v>
      </c>
      <c r="F28" s="3">
        <v>0.5</v>
      </c>
      <c r="G28" s="3">
        <v>1</v>
      </c>
      <c r="H28" s="3" t="s">
        <v>17</v>
      </c>
      <c r="I28" s="3">
        <f t="shared" si="0"/>
        <v>1.5</v>
      </c>
    </row>
    <row r="29" spans="1:9" ht="23" customHeight="1" x14ac:dyDescent="0.25">
      <c r="A29" s="3" t="s">
        <v>77</v>
      </c>
      <c r="B29" s="19" t="s">
        <v>78</v>
      </c>
      <c r="C29" s="14" t="s">
        <v>21</v>
      </c>
      <c r="D29" s="14" t="s">
        <v>74</v>
      </c>
      <c r="E29" s="3" t="s">
        <v>17</v>
      </c>
      <c r="F29" s="3">
        <v>0.5</v>
      </c>
      <c r="G29" s="3">
        <v>0.5</v>
      </c>
      <c r="H29" s="3" t="s">
        <v>17</v>
      </c>
      <c r="I29" s="3">
        <f t="shared" si="0"/>
        <v>1</v>
      </c>
    </row>
    <row r="30" spans="1:9" ht="23" customHeight="1" x14ac:dyDescent="0.25">
      <c r="A30" s="3" t="s">
        <v>79</v>
      </c>
      <c r="B30" s="19" t="s">
        <v>80</v>
      </c>
      <c r="C30" s="14" t="s">
        <v>16</v>
      </c>
      <c r="D30" s="14" t="s">
        <v>74</v>
      </c>
      <c r="E30" s="3" t="s">
        <v>17</v>
      </c>
      <c r="F30" s="3">
        <v>0.5</v>
      </c>
      <c r="G30" s="3">
        <v>1</v>
      </c>
      <c r="H30" s="3" t="s">
        <v>17</v>
      </c>
      <c r="I30" s="3">
        <f t="shared" si="0"/>
        <v>1.5</v>
      </c>
    </row>
    <row r="31" spans="1:9" ht="23" customHeight="1" x14ac:dyDescent="0.25">
      <c r="A31" s="3" t="s">
        <v>81</v>
      </c>
      <c r="B31" s="19" t="s">
        <v>82</v>
      </c>
      <c r="C31" s="14" t="s">
        <v>73</v>
      </c>
      <c r="D31" s="14" t="s">
        <v>74</v>
      </c>
      <c r="E31" s="3" t="s">
        <v>17</v>
      </c>
      <c r="F31" s="3">
        <v>0.35</v>
      </c>
      <c r="G31" s="3" t="s">
        <v>17</v>
      </c>
      <c r="H31" s="3" t="s">
        <v>17</v>
      </c>
      <c r="I31" s="3">
        <f t="shared" si="0"/>
        <v>0.35</v>
      </c>
    </row>
    <row r="32" spans="1:9" ht="23" customHeight="1" x14ac:dyDescent="0.25">
      <c r="A32" s="8" t="s">
        <v>5</v>
      </c>
      <c r="B32" s="20" t="s">
        <v>14</v>
      </c>
      <c r="C32" s="15"/>
      <c r="D32" s="15"/>
      <c r="E32" s="8"/>
      <c r="F32" s="8">
        <f t="shared" ref="F32:H32" si="1">SUM(F5:F31)</f>
        <v>5.0999999999999996</v>
      </c>
      <c r="G32" s="8">
        <f t="shared" si="1"/>
        <v>10</v>
      </c>
      <c r="H32" s="8">
        <f t="shared" si="1"/>
        <v>4.3499999999999996</v>
      </c>
      <c r="I32" s="8">
        <f>SUM(I5:I31)</f>
        <v>19.450000000000003</v>
      </c>
    </row>
    <row r="33" spans="1:9" s="10" customFormat="1" ht="23" customHeight="1" x14ac:dyDescent="0.25">
      <c r="A33" s="9"/>
      <c r="B33" s="21"/>
      <c r="C33" s="16"/>
      <c r="D33" s="16"/>
      <c r="F33" s="9"/>
      <c r="G33" s="9"/>
      <c r="H33" s="9"/>
      <c r="I33" s="9"/>
    </row>
    <row r="34" spans="1:9" ht="23" customHeight="1" x14ac:dyDescent="0.25">
      <c r="A34" s="7" t="s">
        <v>93</v>
      </c>
      <c r="B34" s="18"/>
      <c r="C34" s="13"/>
      <c r="D34" s="13"/>
      <c r="E34" s="7"/>
      <c r="F34" s="7"/>
      <c r="G34" s="7"/>
      <c r="H34" s="7"/>
      <c r="I34" s="7"/>
    </row>
    <row r="35" spans="1:9" ht="23" customHeight="1" x14ac:dyDescent="0.25">
      <c r="A35" s="3" t="s">
        <v>27</v>
      </c>
      <c r="B35" s="19" t="s">
        <v>28</v>
      </c>
      <c r="C35" s="14" t="s">
        <v>17</v>
      </c>
      <c r="D35" s="14" t="s">
        <v>17</v>
      </c>
      <c r="E35" s="3" t="s">
        <v>17</v>
      </c>
      <c r="F35" s="3" t="s">
        <v>17</v>
      </c>
      <c r="G35" s="3" t="s">
        <v>17</v>
      </c>
      <c r="H35" s="3" t="s">
        <v>17</v>
      </c>
      <c r="I35" s="3">
        <f t="shared" ref="I35:I57" si="2">SUM(F35:H35)</f>
        <v>0</v>
      </c>
    </row>
    <row r="36" spans="1:9" ht="23" customHeight="1" x14ac:dyDescent="0.25">
      <c r="A36" s="3" t="s">
        <v>29</v>
      </c>
      <c r="B36" s="19" t="s">
        <v>30</v>
      </c>
      <c r="C36" s="14">
        <v>46235</v>
      </c>
      <c r="D36" s="14">
        <v>46265</v>
      </c>
      <c r="E36" s="3" t="s">
        <v>17</v>
      </c>
      <c r="F36" s="3">
        <v>0.125</v>
      </c>
      <c r="H36" s="3" t="s">
        <v>17</v>
      </c>
      <c r="I36" s="3">
        <f t="shared" si="2"/>
        <v>0.125</v>
      </c>
    </row>
    <row r="37" spans="1:9" ht="23" customHeight="1" x14ac:dyDescent="0.25">
      <c r="A37" s="3" t="s">
        <v>33</v>
      </c>
      <c r="B37" s="22" t="s">
        <v>34</v>
      </c>
      <c r="C37" s="14">
        <v>46266</v>
      </c>
      <c r="D37" s="14">
        <v>46295</v>
      </c>
      <c r="E37" s="3" t="s">
        <v>17</v>
      </c>
      <c r="F37" s="3">
        <v>0.125</v>
      </c>
      <c r="H37" s="3" t="s">
        <v>17</v>
      </c>
      <c r="I37" s="3">
        <f t="shared" si="2"/>
        <v>0.125</v>
      </c>
    </row>
    <row r="38" spans="1:9" ht="23" customHeight="1" x14ac:dyDescent="0.25">
      <c r="A38" s="3" t="s">
        <v>36</v>
      </c>
      <c r="B38" s="19" t="s">
        <v>37</v>
      </c>
      <c r="C38" s="14">
        <v>46296</v>
      </c>
      <c r="D38" s="14">
        <v>46326</v>
      </c>
      <c r="E38" s="3" t="s">
        <v>17</v>
      </c>
      <c r="F38" s="3">
        <v>0.125</v>
      </c>
      <c r="G38" s="3" t="s">
        <v>17</v>
      </c>
      <c r="H38" s="3" t="s">
        <v>17</v>
      </c>
      <c r="I38" s="3">
        <f t="shared" si="2"/>
        <v>0.125</v>
      </c>
    </row>
    <row r="39" spans="1:9" ht="23" customHeight="1" x14ac:dyDescent="0.25">
      <c r="A39" s="3" t="s">
        <v>39</v>
      </c>
      <c r="B39" s="19" t="s">
        <v>40</v>
      </c>
      <c r="C39" s="14" t="s">
        <v>17</v>
      </c>
      <c r="D39" s="14" t="s">
        <v>17</v>
      </c>
      <c r="E39" s="3" t="s">
        <v>17</v>
      </c>
      <c r="F39" s="3" t="s">
        <v>17</v>
      </c>
      <c r="G39" s="3" t="s">
        <v>17</v>
      </c>
      <c r="H39" s="3" t="s">
        <v>17</v>
      </c>
      <c r="I39" s="3">
        <f t="shared" si="2"/>
        <v>0</v>
      </c>
    </row>
    <row r="40" spans="1:9" ht="23" customHeight="1" x14ac:dyDescent="0.25">
      <c r="A40" s="3" t="s">
        <v>41</v>
      </c>
      <c r="B40" s="19" t="s">
        <v>42</v>
      </c>
      <c r="C40" s="14">
        <v>46235</v>
      </c>
      <c r="D40" s="14">
        <v>46387</v>
      </c>
      <c r="E40" s="3" t="s">
        <v>17</v>
      </c>
      <c r="F40" s="3">
        <v>0.5</v>
      </c>
      <c r="G40" s="3">
        <v>2.25</v>
      </c>
      <c r="H40" s="3" t="s">
        <v>17</v>
      </c>
      <c r="I40" s="3">
        <f t="shared" si="2"/>
        <v>2.75</v>
      </c>
    </row>
    <row r="41" spans="1:9" ht="23" customHeight="1" x14ac:dyDescent="0.25">
      <c r="A41" s="3" t="s">
        <v>45</v>
      </c>
      <c r="B41" s="19" t="s">
        <v>46</v>
      </c>
      <c r="C41" s="14">
        <v>46388</v>
      </c>
      <c r="D41" s="14">
        <v>46418</v>
      </c>
      <c r="E41" s="3" t="s">
        <v>17</v>
      </c>
      <c r="F41" s="3" t="s">
        <v>17</v>
      </c>
      <c r="G41" s="3">
        <v>0.5</v>
      </c>
      <c r="H41" s="3" t="s">
        <v>17</v>
      </c>
      <c r="I41" s="3">
        <f t="shared" si="2"/>
        <v>0.5</v>
      </c>
    </row>
    <row r="42" spans="1:9" ht="23" customHeight="1" x14ac:dyDescent="0.25">
      <c r="A42" s="3" t="s">
        <v>47</v>
      </c>
      <c r="B42" s="19" t="s">
        <v>48</v>
      </c>
      <c r="C42" s="14">
        <v>46388</v>
      </c>
      <c r="D42" s="14">
        <v>46538</v>
      </c>
      <c r="E42" s="3" t="s">
        <v>17</v>
      </c>
      <c r="G42" s="3">
        <v>1</v>
      </c>
      <c r="H42" s="3" t="s">
        <v>17</v>
      </c>
      <c r="I42" s="3">
        <f t="shared" si="2"/>
        <v>1</v>
      </c>
    </row>
    <row r="43" spans="1:9" ht="23" customHeight="1" x14ac:dyDescent="0.25">
      <c r="A43" s="3" t="s">
        <v>49</v>
      </c>
      <c r="B43" s="19" t="s">
        <v>50</v>
      </c>
      <c r="C43" s="14">
        <v>46539</v>
      </c>
      <c r="D43" s="14">
        <v>46599</v>
      </c>
      <c r="E43" s="3" t="s">
        <v>17</v>
      </c>
      <c r="G43" s="3">
        <v>0.25</v>
      </c>
      <c r="H43" s="3" t="s">
        <v>17</v>
      </c>
      <c r="I43" s="3">
        <f t="shared" si="2"/>
        <v>0.25</v>
      </c>
    </row>
    <row r="44" spans="1:9" ht="23" customHeight="1" x14ac:dyDescent="0.25">
      <c r="A44" s="3" t="s">
        <v>51</v>
      </c>
      <c r="B44" s="19" t="s">
        <v>52</v>
      </c>
      <c r="C44" s="14">
        <v>46388</v>
      </c>
      <c r="D44" s="14">
        <v>46599</v>
      </c>
      <c r="E44" s="3" t="s">
        <v>17</v>
      </c>
      <c r="F44" s="3">
        <v>0.25</v>
      </c>
      <c r="G44" s="3">
        <v>0.25</v>
      </c>
      <c r="H44" s="3" t="s">
        <v>17</v>
      </c>
      <c r="I44" s="3">
        <f t="shared" si="2"/>
        <v>0.5</v>
      </c>
    </row>
    <row r="45" spans="1:9" ht="23" customHeight="1" x14ac:dyDescent="0.25">
      <c r="A45" s="3" t="s">
        <v>53</v>
      </c>
      <c r="B45" s="19" t="s">
        <v>54</v>
      </c>
      <c r="C45" s="14">
        <v>46388</v>
      </c>
      <c r="D45" s="14">
        <v>46568</v>
      </c>
      <c r="E45" s="3" t="s">
        <v>17</v>
      </c>
      <c r="G45" s="3">
        <v>0.25</v>
      </c>
      <c r="H45" s="3" t="s">
        <v>17</v>
      </c>
      <c r="I45" s="3">
        <f t="shared" si="2"/>
        <v>0.25</v>
      </c>
    </row>
    <row r="46" spans="1:9" ht="23" customHeight="1" x14ac:dyDescent="0.25">
      <c r="A46" s="3" t="s">
        <v>55</v>
      </c>
      <c r="B46" s="19" t="s">
        <v>56</v>
      </c>
      <c r="C46" s="14" t="s">
        <v>17</v>
      </c>
      <c r="D46" s="14" t="s">
        <v>17</v>
      </c>
      <c r="E46" s="3" t="s">
        <v>17</v>
      </c>
      <c r="F46" s="3" t="s">
        <v>17</v>
      </c>
      <c r="G46" s="3" t="s">
        <v>17</v>
      </c>
      <c r="H46" s="3" t="s">
        <v>17</v>
      </c>
      <c r="I46" s="3">
        <f t="shared" si="2"/>
        <v>0</v>
      </c>
    </row>
    <row r="47" spans="1:9" ht="23" customHeight="1" x14ac:dyDescent="0.25">
      <c r="A47" s="3" t="s">
        <v>57</v>
      </c>
      <c r="B47" s="19" t="s">
        <v>58</v>
      </c>
      <c r="C47" s="14">
        <v>46235</v>
      </c>
      <c r="D47" s="14">
        <v>46265</v>
      </c>
      <c r="E47" s="3" t="s">
        <v>17</v>
      </c>
      <c r="F47" s="3">
        <v>0.25</v>
      </c>
      <c r="G47" s="3">
        <v>0.5</v>
      </c>
      <c r="H47" s="3" t="s">
        <v>17</v>
      </c>
      <c r="I47" s="3">
        <f t="shared" si="2"/>
        <v>0.75</v>
      </c>
    </row>
    <row r="48" spans="1:9" ht="23" customHeight="1" x14ac:dyDescent="0.25">
      <c r="A48" s="3" t="s">
        <v>61</v>
      </c>
      <c r="B48" s="19" t="s">
        <v>62</v>
      </c>
      <c r="C48" s="14">
        <v>46235</v>
      </c>
      <c r="D48" s="14">
        <v>46387</v>
      </c>
      <c r="E48" s="3" t="s">
        <v>17</v>
      </c>
      <c r="F48" s="3">
        <v>0.5</v>
      </c>
      <c r="G48" s="3">
        <v>0.75</v>
      </c>
      <c r="H48" s="3" t="s">
        <v>17</v>
      </c>
      <c r="I48" s="3">
        <f t="shared" si="2"/>
        <v>1.25</v>
      </c>
    </row>
    <row r="49" spans="1:9" ht="23" customHeight="1" x14ac:dyDescent="0.25">
      <c r="A49" s="3" t="s">
        <v>63</v>
      </c>
      <c r="B49" s="19" t="s">
        <v>64</v>
      </c>
      <c r="C49" s="14">
        <v>46235</v>
      </c>
      <c r="D49" s="14">
        <v>46387</v>
      </c>
      <c r="E49" s="3" t="s">
        <v>17</v>
      </c>
      <c r="F49" s="3">
        <v>0.5</v>
      </c>
      <c r="G49" s="3">
        <v>0.75</v>
      </c>
      <c r="H49" s="3">
        <v>0.5</v>
      </c>
      <c r="I49" s="3">
        <f t="shared" si="2"/>
        <v>1.75</v>
      </c>
    </row>
    <row r="50" spans="1:9" ht="23" customHeight="1" x14ac:dyDescent="0.25">
      <c r="A50" s="3" t="s">
        <v>65</v>
      </c>
      <c r="B50" s="19" t="s">
        <v>66</v>
      </c>
      <c r="C50" s="14">
        <v>46388</v>
      </c>
      <c r="D50" s="14">
        <v>46418</v>
      </c>
      <c r="E50" s="3" t="s">
        <v>17</v>
      </c>
      <c r="F50" s="3" t="s">
        <v>17</v>
      </c>
      <c r="G50" s="3">
        <v>0.497</v>
      </c>
      <c r="H50" s="3" t="s">
        <v>17</v>
      </c>
      <c r="I50" s="3">
        <f t="shared" si="2"/>
        <v>0.497</v>
      </c>
    </row>
    <row r="51" spans="1:9" ht="40" x14ac:dyDescent="0.25">
      <c r="A51" s="3" t="s">
        <v>67</v>
      </c>
      <c r="B51" s="19" t="s">
        <v>68</v>
      </c>
      <c r="C51" s="14">
        <v>46419</v>
      </c>
      <c r="D51" s="14">
        <v>46446</v>
      </c>
      <c r="E51" s="3" t="s">
        <v>17</v>
      </c>
      <c r="F51" s="3">
        <v>0.5</v>
      </c>
      <c r="G51" s="3" t="s">
        <v>17</v>
      </c>
      <c r="H51" s="3">
        <v>0.25</v>
      </c>
      <c r="I51" s="3">
        <f t="shared" si="2"/>
        <v>0.75</v>
      </c>
    </row>
    <row r="52" spans="1:9" ht="23" customHeight="1" x14ac:dyDescent="0.25">
      <c r="A52" s="3" t="s">
        <v>69</v>
      </c>
      <c r="B52" s="19" t="s">
        <v>70</v>
      </c>
      <c r="C52" s="14" t="s">
        <v>17</v>
      </c>
      <c r="D52" s="14" t="s">
        <v>17</v>
      </c>
      <c r="E52" s="3" t="s">
        <v>17</v>
      </c>
      <c r="F52" s="3" t="s">
        <v>17</v>
      </c>
      <c r="G52" s="3" t="s">
        <v>17</v>
      </c>
      <c r="H52" s="3" t="s">
        <v>17</v>
      </c>
      <c r="I52" s="3">
        <f t="shared" si="2"/>
        <v>0</v>
      </c>
    </row>
    <row r="53" spans="1:9" ht="23" customHeight="1" x14ac:dyDescent="0.25">
      <c r="A53" s="3" t="s">
        <v>71</v>
      </c>
      <c r="B53" s="19" t="s">
        <v>72</v>
      </c>
      <c r="C53" s="14">
        <v>46447</v>
      </c>
      <c r="D53" s="14">
        <v>46477</v>
      </c>
      <c r="E53" s="3" t="s">
        <v>17</v>
      </c>
      <c r="F53" s="3">
        <v>0.25</v>
      </c>
      <c r="H53" s="3">
        <v>0.5</v>
      </c>
      <c r="I53" s="3">
        <f t="shared" si="2"/>
        <v>0.75</v>
      </c>
    </row>
    <row r="54" spans="1:9" ht="23" customHeight="1" x14ac:dyDescent="0.25">
      <c r="A54" s="3" t="s">
        <v>75</v>
      </c>
      <c r="B54" s="19" t="s">
        <v>76</v>
      </c>
      <c r="C54" s="14">
        <v>46447</v>
      </c>
      <c r="D54" s="14">
        <v>46477</v>
      </c>
      <c r="E54" s="3" t="s">
        <v>17</v>
      </c>
      <c r="F54" s="3">
        <v>0.25</v>
      </c>
      <c r="H54" s="3" t="s">
        <v>17</v>
      </c>
      <c r="I54" s="3">
        <f t="shared" si="2"/>
        <v>0.25</v>
      </c>
    </row>
    <row r="55" spans="1:9" ht="23" customHeight="1" x14ac:dyDescent="0.25">
      <c r="A55" s="3" t="s">
        <v>77</v>
      </c>
      <c r="B55" s="19" t="s">
        <v>78</v>
      </c>
      <c r="C55" s="14">
        <v>46478</v>
      </c>
      <c r="D55" s="14">
        <v>46507</v>
      </c>
      <c r="E55" s="3" t="s">
        <v>17</v>
      </c>
      <c r="F55" s="3">
        <v>0.25</v>
      </c>
      <c r="H55" s="3" t="s">
        <v>17</v>
      </c>
      <c r="I55" s="3">
        <f t="shared" si="2"/>
        <v>0.25</v>
      </c>
    </row>
    <row r="56" spans="1:9" ht="23" customHeight="1" x14ac:dyDescent="0.25">
      <c r="A56" s="3" t="s">
        <v>79</v>
      </c>
      <c r="B56" s="19" t="s">
        <v>80</v>
      </c>
      <c r="C56" s="14">
        <v>46508</v>
      </c>
      <c r="D56" s="14">
        <v>46538</v>
      </c>
      <c r="E56" s="3" t="s">
        <v>17</v>
      </c>
      <c r="F56" s="3">
        <v>0.25</v>
      </c>
      <c r="H56" s="3">
        <v>0.25</v>
      </c>
      <c r="I56" s="3">
        <f t="shared" si="2"/>
        <v>0.5</v>
      </c>
    </row>
    <row r="57" spans="1:9" ht="23" customHeight="1" x14ac:dyDescent="0.25">
      <c r="A57" s="3" t="s">
        <v>81</v>
      </c>
      <c r="B57" s="19" t="s">
        <v>82</v>
      </c>
      <c r="C57" s="14">
        <v>46539</v>
      </c>
      <c r="D57" s="14">
        <v>46568</v>
      </c>
      <c r="E57" s="3" t="s">
        <v>17</v>
      </c>
      <c r="F57" s="3">
        <v>0.25</v>
      </c>
      <c r="G57" s="3" t="s">
        <v>17</v>
      </c>
      <c r="H57" s="3" t="s">
        <v>17</v>
      </c>
      <c r="I57" s="3">
        <f t="shared" si="2"/>
        <v>0.25</v>
      </c>
    </row>
    <row r="59" spans="1:9" ht="23" customHeight="1" x14ac:dyDescent="0.25">
      <c r="A59" s="8" t="s">
        <v>5</v>
      </c>
      <c r="B59" s="20" t="s">
        <v>14</v>
      </c>
      <c r="C59" s="15"/>
      <c r="D59" s="15"/>
      <c r="E59" s="8"/>
      <c r="F59" s="8">
        <f>SUM(F35:F58)</f>
        <v>4.125</v>
      </c>
      <c r="G59" s="8">
        <f>SUM(G35:G58)</f>
        <v>6.9969999999999999</v>
      </c>
      <c r="H59" s="8">
        <f>SUM(H35:H58)</f>
        <v>1.5</v>
      </c>
      <c r="I59" s="23">
        <f>SUM(I35:I58)</f>
        <v>12.622</v>
      </c>
    </row>
    <row r="62" spans="1:9" ht="23" customHeight="1" x14ac:dyDescent="0.25">
      <c r="A62" s="11" t="s">
        <v>83</v>
      </c>
      <c r="B62" s="11"/>
      <c r="C62" s="11"/>
      <c r="D62" s="11"/>
      <c r="E62" s="11"/>
      <c r="F62" s="11"/>
    </row>
    <row r="63" spans="1:9" ht="23" customHeight="1" x14ac:dyDescent="0.25">
      <c r="A63" s="4" t="s">
        <v>84</v>
      </c>
      <c r="B63" s="4"/>
      <c r="C63" s="4"/>
      <c r="D63" s="4"/>
      <c r="E63" s="4"/>
      <c r="F63" s="4"/>
    </row>
    <row r="64" spans="1:9" ht="23" customHeight="1" x14ac:dyDescent="0.25">
      <c r="A64" s="4" t="s">
        <v>85</v>
      </c>
      <c r="B64" s="4"/>
      <c r="C64" s="4"/>
      <c r="D64" s="4"/>
      <c r="E64" s="4"/>
      <c r="F64" s="4"/>
    </row>
    <row r="65" spans="1:6" ht="23" customHeight="1" x14ac:dyDescent="0.25">
      <c r="A65" s="4" t="s">
        <v>86</v>
      </c>
      <c r="B65" s="4"/>
      <c r="C65" s="4"/>
      <c r="D65" s="4"/>
      <c r="E65" s="4"/>
      <c r="F65" s="4"/>
    </row>
    <row r="66" spans="1:6" ht="23" customHeight="1" x14ac:dyDescent="0.25">
      <c r="A66" s="4" t="s">
        <v>87</v>
      </c>
      <c r="B66" s="4"/>
      <c r="C66" s="4"/>
      <c r="D66" s="4"/>
      <c r="E66" s="4"/>
      <c r="F66" s="4"/>
    </row>
    <row r="67" spans="1:6" ht="23" customHeight="1" x14ac:dyDescent="0.25">
      <c r="A67" s="4" t="s">
        <v>88</v>
      </c>
      <c r="B67" s="4"/>
      <c r="C67" s="4"/>
      <c r="D67" s="4"/>
      <c r="E67" s="4"/>
      <c r="F67" s="4"/>
    </row>
    <row r="68" spans="1:6" ht="23" customHeight="1" x14ac:dyDescent="0.25">
      <c r="A68" s="4" t="s">
        <v>89</v>
      </c>
      <c r="B68" s="4"/>
      <c r="C68" s="4"/>
      <c r="D68" s="4"/>
      <c r="E68" s="4"/>
      <c r="F68" s="4"/>
    </row>
    <row r="69" spans="1:6" ht="23" customHeight="1" x14ac:dyDescent="0.25">
      <c r="A69" s="4" t="s">
        <v>90</v>
      </c>
      <c r="B69" s="4"/>
      <c r="C69" s="4"/>
      <c r="D69" s="4"/>
      <c r="E69" s="4"/>
      <c r="F69" s="4"/>
    </row>
    <row r="70" spans="1:6" ht="23" customHeight="1" x14ac:dyDescent="0.25">
      <c r="A70" s="4" t="s">
        <v>17</v>
      </c>
      <c r="B70" s="4"/>
      <c r="C70" s="4"/>
      <c r="D70" s="4"/>
      <c r="E70" s="4"/>
      <c r="F70" s="4"/>
    </row>
    <row r="71" spans="1:6" ht="23" customHeight="1" x14ac:dyDescent="0.25">
      <c r="A71" s="4" t="s">
        <v>0</v>
      </c>
      <c r="B71" s="4"/>
      <c r="C71" s="4"/>
      <c r="D71" s="4"/>
      <c r="E71" s="4"/>
      <c r="F71" s="4"/>
    </row>
    <row r="72" spans="1:6" ht="23" customHeight="1" x14ac:dyDescent="0.25">
      <c r="A72" s="4" t="s">
        <v>6</v>
      </c>
      <c r="B72" s="4"/>
      <c r="C72" s="4"/>
      <c r="D72" s="4"/>
      <c r="E72" s="4"/>
      <c r="F72" s="4"/>
    </row>
    <row r="73" spans="1:6" ht="23" customHeight="1" x14ac:dyDescent="0.25">
      <c r="A73" s="4" t="s">
        <v>91</v>
      </c>
      <c r="B73" s="4"/>
      <c r="C73" s="4"/>
      <c r="D73" s="4"/>
      <c r="E73" s="4"/>
      <c r="F73" s="4"/>
    </row>
    <row r="74" spans="1:6" ht="23" customHeight="1" x14ac:dyDescent="0.25">
      <c r="A74" s="4" t="s">
        <v>92</v>
      </c>
      <c r="B74" s="4"/>
      <c r="C74" s="4"/>
      <c r="D74" s="4"/>
      <c r="E74" s="4"/>
      <c r="F74" s="4"/>
    </row>
  </sheetData>
  <mergeCells count="15">
    <mergeCell ref="A70:F70"/>
    <mergeCell ref="A71:F71"/>
    <mergeCell ref="A72:F72"/>
    <mergeCell ref="A73:F73"/>
    <mergeCell ref="A74:F74"/>
    <mergeCell ref="A65:F65"/>
    <mergeCell ref="A66:F66"/>
    <mergeCell ref="A67:F67"/>
    <mergeCell ref="A68:F68"/>
    <mergeCell ref="A69:F69"/>
    <mergeCell ref="A1:D1"/>
    <mergeCell ref="A2:D2"/>
    <mergeCell ref="A62:F62"/>
    <mergeCell ref="A63:F63"/>
    <mergeCell ref="A64:F64"/>
  </mergeCells>
  <phoneticPr fontId="1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Arbeitsplan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2026-04-23T16:42:44Z</dcterms:created>
  <dcterms:modified xsi:type="dcterms:W3CDTF">2026-04-23T18:07:51Z</dcterms:modified>
  <cp:category/>
</cp:coreProperties>
</file>