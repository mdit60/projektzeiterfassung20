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filterPrivacy="1"/>
  <xr:revisionPtr revIDLastSave="0" documentId="8_{BF0ECC7E-938A-5549-8691-D24A3F391F43}" xr6:coauthVersionLast="47" xr6:coauthVersionMax="47" xr10:uidLastSave="{00000000-0000-0000-0000-000000000000}"/>
  <bookViews>
    <workbookView xWindow="-23280" yWindow="-21000" windowWidth="38400" windowHeight="21000" xr2:uid="{00000000-000D-0000-FFFF-FFFF00000000}"/>
  </bookViews>
  <sheets>
    <sheet name="Arbeits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H34" i="1"/>
  <c r="G34" i="1"/>
  <c r="F34" i="1"/>
  <c r="I33" i="1"/>
  <c r="I32" i="1"/>
  <c r="I31" i="1"/>
  <c r="I30" i="1"/>
  <c r="I29" i="1"/>
  <c r="I5" i="1"/>
  <c r="I4" i="1"/>
  <c r="I34" i="1" l="1"/>
</calcChain>
</file>

<file path=xl/sharedStrings.xml><?xml version="1.0" encoding="utf-8"?>
<sst xmlns="http://schemas.openxmlformats.org/spreadsheetml/2006/main" count="107" uniqueCount="75">
  <si>
    <t>Projekt: ZIM Innovationsnetzwerk Yacht Connect</t>
  </si>
  <si>
    <t>T</t>
  </si>
  <si>
    <t>MA-Nr 1</t>
  </si>
  <si>
    <t>MA-Nr 2</t>
  </si>
  <si>
    <t>MA-Nr 3</t>
  </si>
  <si>
    <t>Summe</t>
  </si>
  <si>
    <t>FKZ: 16KN124502</t>
  </si>
  <si>
    <t>K. Kirchner</t>
  </si>
  <si>
    <t>M. Ditscherlein</t>
  </si>
  <si>
    <t>L. Kirchner</t>
  </si>
  <si>
    <t>AP</t>
  </si>
  <si>
    <t>Beschreibung</t>
  </si>
  <si>
    <t>von</t>
  </si>
  <si>
    <t>bis</t>
  </si>
  <si>
    <t>PM</t>
  </si>
  <si>
    <t/>
  </si>
  <si>
    <t>Hinweise:</t>
  </si>
  <si>
    <t>- AP-Nr.: Format 1, 1.1, 2.1.3 etc. (entsprechend Anlage 6.2 des Antrags)</t>
  </si>
  <si>
    <t>- von/bis: Datum im Format TT.MM.JJJJ</t>
  </si>
  <si>
    <t>- T: "X" fuer technisches AP (ZIM-Durchfuehrbarkeitsstudie), leer fuer nicht-technisch</t>
  </si>
  <si>
    <t>- PM: Personenmonate als Dezimalzahl (z.B. 1,5)</t>
  </si>
  <si>
    <t>- AP Summe PM: Wird automatisch berechnet</t>
  </si>
  <si>
    <t>- Leere PM-Zellen werden als 0 interpretiert</t>
  </si>
  <si>
    <t>- Die gelbe Beispielzeile vor dem Upload loeschen!</t>
  </si>
  <si>
    <t>Foerderformat: ZIM_NETZWERK</t>
  </si>
  <si>
    <t>Team: 3 Mitarbeiter</t>
  </si>
  <si>
    <t>Weiterentwicklung Netzwerkkonzeption</t>
  </si>
  <si>
    <t>fortlaufende Weiterentwicklung der Strategie zur  Neuaufnahme von NW-Partnern</t>
  </si>
  <si>
    <t>Selektion strategisch ergänzender und synergieversprechender neuer Netzwerkpartner; Erschließung von Synergieeffekten und Vorteilen in der Zusammenarbeit im Netzwerk</t>
  </si>
  <si>
    <t xml:space="preserve">Analyse der neuen NW-Partner </t>
  </si>
  <si>
    <t>Markt-, Wettbewerbs-, Technologie- und Kundenanalyse</t>
  </si>
  <si>
    <t>Analyse neuer und bereits akquirierter Netzwerkpartner zur technologischen Leistungsfähigkeit</t>
  </si>
  <si>
    <t>Analyse neuer und bereits akquirierter Netzwerkpartner der vorhandenen Potenziale in Forschung und Entwicklung</t>
  </si>
  <si>
    <t>Akqisition und vertragliche Einbindung weiterer erforderlicher Unternehmen und Forschungseinrichtungen sowie sonstiger geeigneter Netzwerkpartner</t>
  </si>
  <si>
    <t>FuE-Projekte</t>
  </si>
  <si>
    <t>weitere Projektideen der NW-Partner sammeln, prüfen, bewerten und auswählen</t>
  </si>
  <si>
    <t>Weiterentwichlung  der technologischen Roadmap</t>
  </si>
  <si>
    <t>Unterstützung bei der Ausarbeitung von FuE Projektskizzen und -Förderanträgen</t>
  </si>
  <si>
    <t>Unterstützung bei der Kommunikation mit Fördergebern und Projektträgern</t>
  </si>
  <si>
    <t>Durchführung von Marken- und Schutzrechtsanalysen</t>
  </si>
  <si>
    <t>Unterstützung bei der Patentbeantragung und WIPANO-Anträgen</t>
  </si>
  <si>
    <t xml:space="preserve"> Kommunikationsstrategie</t>
  </si>
  <si>
    <t>Weiterentwicklung der  Kommunikationsstrategie</t>
  </si>
  <si>
    <t>Weiterentwicklung Website</t>
  </si>
  <si>
    <t xml:space="preserve">Aufbau internationalen Social-Media-Kommunikation </t>
  </si>
  <si>
    <t>Weiterentwicklung von Informationsmaterialien für NW</t>
  </si>
  <si>
    <t>Vorbereitung, Organisation u. Durchführung von Online-NW-Veranstaltungen u.  Messeteilnahmen</t>
  </si>
  <si>
    <t>Netzwerkmanagement</t>
  </si>
  <si>
    <t>Entwicklung des Finanzierungskonzeptes zur nachhaltigen Fortführung des Netzwerkes</t>
  </si>
  <si>
    <t>Management, Koordinierung, Moderation der Netzwerkprozesse</t>
  </si>
  <si>
    <t>Projektcontrolling, Auswertung und Ableitung von Umsetzungsmaßnahmen</t>
  </si>
  <si>
    <t>Weiterentwicklung Netzwerkstrategie</t>
  </si>
  <si>
    <t>Evaluierung der Projekte im Netzwerk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</si>
  <si>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</si>
  <si>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</si>
  <si>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</si>
  <si>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</si>
  <si>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</si>
  <si>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</si>
  <si>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</si>
  <si>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</si>
  <si>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</si>
  <si>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3.4</t>
  </si>
  <si>
    <t>3.5</t>
  </si>
  <si>
    <t>3.6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</si>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</sst>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0"/>
      <color rgb="FF666666"/>
      <name val="Calibri"/>
      <family val="2"/>
    </font>
    <font>
      <sz val="9"/>
      <color rgb="FF666666"/>
      <name val="Calibri"/>
      <family val="2"/>
    </font>
    <font>
      <b/>
      <sz val="11"/>
      <name val="Calibri"/>
      <family val="2"/>
    </font>
    <font>
      <b/>
      <sz val="9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N27" sqref="N27"/>
    </sheetView>
  </sheetViews>
  <sheetFormatPr baseColWidth="10" defaultColWidth="8.83203125" defaultRowHeight="15" x14ac:dyDescent="0.2"/>
  <cols>
    <col min="1" max="1" width="8" style="3" customWidth="1"/>
    <col min="2" max="2" width="63.6640625" style="3" customWidth="1"/>
    <col min="3" max="4" width="12" style="15" customWidth="1"/>
    <col min="5" max="5" width="5" style="3" customWidth="1"/>
    <col min="6" max="9" width="10" style="3" customWidth="1"/>
    <col min="10" max="16384" width="8.83203125" style="3"/>
  </cols>
  <sheetData>
    <row r="1" spans="1:9" x14ac:dyDescent="0.2">
      <c r="A1" s="4" t="s">
        <v>0</v>
      </c>
      <c r="B1" s="4"/>
      <c r="C1" s="4"/>
      <c r="D1" s="4"/>
      <c r="E1" s="5" t="s">
        <v>1</v>
      </c>
      <c r="F1" s="6" t="s">
        <v>2</v>
      </c>
      <c r="G1" s="6" t="s">
        <v>3</v>
      </c>
      <c r="H1" s="6" t="s">
        <v>4</v>
      </c>
      <c r="I1" s="5" t="s">
        <v>5</v>
      </c>
    </row>
    <row r="2" spans="1:9" x14ac:dyDescent="0.2">
      <c r="A2" s="7" t="s">
        <v>6</v>
      </c>
      <c r="B2" s="7"/>
      <c r="C2" s="7"/>
      <c r="D2" s="7"/>
      <c r="F2" s="8" t="s">
        <v>7</v>
      </c>
      <c r="G2" s="8" t="s">
        <v>8</v>
      </c>
      <c r="H2" s="8" t="s">
        <v>9</v>
      </c>
    </row>
    <row r="3" spans="1:9" x14ac:dyDescent="0.2">
      <c r="A3" s="9" t="s">
        <v>10</v>
      </c>
      <c r="B3" s="10" t="s">
        <v>11</v>
      </c>
      <c r="C3" s="9" t="s">
        <v>12</v>
      </c>
      <c r="D3" s="9" t="s">
        <v>13</v>
      </c>
      <c r="E3" s="9" t="s">
        <v>1</v>
      </c>
      <c r="F3" s="9" t="s">
        <v>14</v>
      </c>
      <c r="G3" s="9" t="s">
        <v>14</v>
      </c>
      <c r="H3" s="9" t="s">
        <v>14</v>
      </c>
      <c r="I3" s="9" t="s">
        <v>14</v>
      </c>
    </row>
    <row r="4" spans="1:9" ht="16" x14ac:dyDescent="0.2">
      <c r="A4" s="2">
        <v>1</v>
      </c>
      <c r="B4" s="1" t="s">
        <v>26</v>
      </c>
      <c r="C4" s="15" t="s">
        <v>15</v>
      </c>
      <c r="D4" s="15" t="s">
        <v>15</v>
      </c>
      <c r="E4" s="3" t="s">
        <v>15</v>
      </c>
      <c r="I4" s="3">
        <f t="shared" ref="I4:I33" si="0">SUM(F4:H4)</f>
        <v>0</v>
      </c>
    </row>
    <row r="5" spans="1:9" ht="35" customHeight="1" x14ac:dyDescent="0.2">
      <c r="A5" s="2" t="s">
        <v>53</v>
      </c>
      <c r="B5" s="1" t="s">
        <v>27</v>
      </c>
      <c r="C5" s="16">
        <v>45870</v>
      </c>
      <c r="D5" s="16">
        <v>45900</v>
      </c>
      <c r="E5" s="3" t="s">
        <v>15</v>
      </c>
      <c r="F5" s="3">
        <v>0.125</v>
      </c>
      <c r="G5" s="3">
        <v>0.5</v>
      </c>
      <c r="H5" s="3">
        <v>0</v>
      </c>
      <c r="I5" s="3">
        <f t="shared" si="0"/>
        <v>0.625</v>
      </c>
    </row>
    <row r="6" spans="1:9" ht="48" x14ac:dyDescent="0.2">
      <c r="A6" s="2" t="s">
        <v>54</v>
      </c>
      <c r="B6" s="1" t="s">
        <v>28</v>
      </c>
      <c r="C6" s="16">
        <v>45870</v>
      </c>
      <c r="D6" s="16">
        <v>45900</v>
      </c>
      <c r="F6" s="3">
        <v>0.125</v>
      </c>
      <c r="G6" s="3">
        <v>0.25</v>
      </c>
      <c r="H6" s="3">
        <v>0</v>
      </c>
      <c r="I6" s="3">
        <f t="shared" si="0"/>
        <v>0.375</v>
      </c>
    </row>
    <row r="7" spans="1:9" ht="16" x14ac:dyDescent="0.2">
      <c r="A7" s="2" t="s">
        <v>55</v>
      </c>
      <c r="B7" s="1" t="s">
        <v>29</v>
      </c>
      <c r="C7" s="16">
        <v>45870</v>
      </c>
      <c r="D7" s="16">
        <v>45900</v>
      </c>
      <c r="F7" s="3">
        <v>0.125</v>
      </c>
      <c r="G7" s="3">
        <v>0.25</v>
      </c>
      <c r="H7" s="3">
        <v>0</v>
      </c>
      <c r="I7" s="3">
        <f t="shared" si="0"/>
        <v>0.375</v>
      </c>
    </row>
    <row r="8" spans="1:9" ht="16" x14ac:dyDescent="0.2">
      <c r="A8" s="2">
        <v>2</v>
      </c>
      <c r="B8" s="1" t="s">
        <v>30</v>
      </c>
      <c r="I8" s="3">
        <f t="shared" si="0"/>
        <v>0</v>
      </c>
    </row>
    <row r="9" spans="1:9" ht="32" x14ac:dyDescent="0.2">
      <c r="A9" s="2" t="s">
        <v>56</v>
      </c>
      <c r="B9" s="1" t="s">
        <v>31</v>
      </c>
      <c r="C9" s="16">
        <v>45901</v>
      </c>
      <c r="D9" s="16">
        <v>46264</v>
      </c>
      <c r="F9" s="3">
        <v>0.25</v>
      </c>
      <c r="G9" s="3">
        <v>0.25</v>
      </c>
      <c r="H9" s="3">
        <v>0</v>
      </c>
      <c r="I9" s="3">
        <f t="shared" si="0"/>
        <v>0.5</v>
      </c>
    </row>
    <row r="10" spans="1:9" ht="32" x14ac:dyDescent="0.2">
      <c r="A10" s="2" t="s">
        <v>57</v>
      </c>
      <c r="B10" s="1" t="s">
        <v>32</v>
      </c>
      <c r="C10" s="16">
        <v>45901</v>
      </c>
      <c r="D10" s="16">
        <v>46295</v>
      </c>
      <c r="F10" s="3">
        <v>0.375</v>
      </c>
      <c r="G10" s="3">
        <v>0.5</v>
      </c>
      <c r="H10" s="3">
        <v>0</v>
      </c>
      <c r="I10" s="3">
        <f t="shared" si="0"/>
        <v>0.875</v>
      </c>
    </row>
    <row r="11" spans="1:9" ht="32" x14ac:dyDescent="0.2">
      <c r="A11" s="2" t="s">
        <v>58</v>
      </c>
      <c r="B11" s="1" t="s">
        <v>33</v>
      </c>
      <c r="C11" s="16">
        <v>45901</v>
      </c>
      <c r="D11" s="16">
        <v>46326</v>
      </c>
      <c r="F11" s="3">
        <v>0.375</v>
      </c>
      <c r="G11" s="3">
        <v>0</v>
      </c>
      <c r="H11" s="3">
        <v>0</v>
      </c>
      <c r="I11" s="3">
        <f t="shared" si="0"/>
        <v>0.375</v>
      </c>
    </row>
    <row r="12" spans="1:9" ht="16" x14ac:dyDescent="0.2">
      <c r="A12" s="2">
        <v>3</v>
      </c>
      <c r="B12" s="1" t="s">
        <v>34</v>
      </c>
      <c r="I12" s="3">
        <f t="shared" si="0"/>
        <v>0</v>
      </c>
    </row>
    <row r="13" spans="1:9" ht="16" x14ac:dyDescent="0.2">
      <c r="A13" s="2" t="s">
        <v>59</v>
      </c>
      <c r="B13" s="1" t="s">
        <v>35</v>
      </c>
      <c r="C13" s="16">
        <v>45962</v>
      </c>
      <c r="D13" s="16">
        <v>46053</v>
      </c>
      <c r="F13" s="3">
        <v>0.125</v>
      </c>
      <c r="G13" s="3">
        <v>0.5</v>
      </c>
      <c r="H13" s="3">
        <v>0</v>
      </c>
      <c r="I13" s="3">
        <f t="shared" si="0"/>
        <v>0.625</v>
      </c>
    </row>
    <row r="14" spans="1:9" ht="16" x14ac:dyDescent="0.2">
      <c r="A14" s="2" t="s">
        <v>60</v>
      </c>
      <c r="B14" s="1" t="s">
        <v>36</v>
      </c>
      <c r="C14" s="16">
        <v>45962</v>
      </c>
      <c r="D14" s="16">
        <v>46053</v>
      </c>
      <c r="F14" s="3">
        <v>0</v>
      </c>
      <c r="G14" s="3">
        <v>2</v>
      </c>
      <c r="H14" s="3">
        <v>0</v>
      </c>
      <c r="I14" s="3">
        <f t="shared" si="0"/>
        <v>2</v>
      </c>
    </row>
    <row r="15" spans="1:9" ht="16" x14ac:dyDescent="0.2">
      <c r="A15" s="2" t="s">
        <v>61</v>
      </c>
      <c r="B15" s="1" t="s">
        <v>37</v>
      </c>
      <c r="C15" s="16">
        <v>45962</v>
      </c>
      <c r="D15" s="16">
        <v>46053</v>
      </c>
      <c r="F15" s="3">
        <v>0.25</v>
      </c>
      <c r="G15" s="3">
        <v>0.25</v>
      </c>
      <c r="H15" s="3">
        <v>0</v>
      </c>
      <c r="I15" s="3">
        <f t="shared" si="0"/>
        <v>0.5</v>
      </c>
    </row>
    <row r="16" spans="1:9" ht="16" x14ac:dyDescent="0.2">
      <c r="A16" s="2" t="s">
        <v>62</v>
      </c>
      <c r="B16" s="1" t="s">
        <v>38</v>
      </c>
      <c r="C16" s="16">
        <v>45962</v>
      </c>
      <c r="D16" s="16">
        <v>46053</v>
      </c>
      <c r="F16" s="3">
        <v>0.125</v>
      </c>
      <c r="G16" s="3">
        <v>0</v>
      </c>
      <c r="H16" s="3">
        <v>0</v>
      </c>
      <c r="I16" s="3">
        <f t="shared" si="0"/>
        <v>0.125</v>
      </c>
    </row>
    <row r="17" spans="1:9" ht="16" x14ac:dyDescent="0.2">
      <c r="A17" s="2" t="s">
        <v>63</v>
      </c>
      <c r="B17" s="1" t="s">
        <v>39</v>
      </c>
      <c r="C17" s="16">
        <v>45962</v>
      </c>
      <c r="D17" s="16">
        <v>46053</v>
      </c>
      <c r="F17" s="3">
        <v>0.125</v>
      </c>
      <c r="G17" s="3">
        <v>0</v>
      </c>
      <c r="H17" s="3">
        <v>0</v>
      </c>
      <c r="I17" s="3">
        <f t="shared" si="0"/>
        <v>0.125</v>
      </c>
    </row>
    <row r="18" spans="1:9" ht="16" x14ac:dyDescent="0.2">
      <c r="A18" s="2" t="s">
        <v>64</v>
      </c>
      <c r="B18" s="1" t="s">
        <v>40</v>
      </c>
      <c r="C18" s="16">
        <v>45962</v>
      </c>
      <c r="D18" s="16">
        <v>46053</v>
      </c>
      <c r="F18" s="3">
        <v>0.125</v>
      </c>
      <c r="G18" s="3">
        <v>0</v>
      </c>
      <c r="H18" s="3">
        <v>0</v>
      </c>
      <c r="I18" s="3">
        <f t="shared" si="0"/>
        <v>0.125</v>
      </c>
    </row>
    <row r="19" spans="1:9" ht="16" x14ac:dyDescent="0.2">
      <c r="A19" s="2">
        <v>4</v>
      </c>
      <c r="B19" s="1" t="s">
        <v>41</v>
      </c>
      <c r="I19" s="3">
        <f t="shared" si="0"/>
        <v>0</v>
      </c>
    </row>
    <row r="20" spans="1:9" ht="16" x14ac:dyDescent="0.2">
      <c r="A20" s="2" t="s">
        <v>65</v>
      </c>
      <c r="B20" s="1" t="s">
        <v>42</v>
      </c>
      <c r="C20" s="16">
        <v>46054</v>
      </c>
      <c r="D20" s="16">
        <v>46112</v>
      </c>
      <c r="F20" s="3">
        <v>0.5</v>
      </c>
      <c r="G20" s="3">
        <v>0</v>
      </c>
      <c r="H20" s="3">
        <v>0</v>
      </c>
      <c r="I20" s="3">
        <f t="shared" si="0"/>
        <v>0.5</v>
      </c>
    </row>
    <row r="21" spans="1:9" ht="16" x14ac:dyDescent="0.2">
      <c r="A21" s="2" t="s">
        <v>66</v>
      </c>
      <c r="B21" s="1" t="s">
        <v>43</v>
      </c>
      <c r="C21" s="16">
        <v>46054</v>
      </c>
      <c r="D21" s="16">
        <v>46112</v>
      </c>
      <c r="F21" s="3">
        <v>0</v>
      </c>
      <c r="G21" s="3">
        <v>1</v>
      </c>
      <c r="H21" s="3">
        <v>0</v>
      </c>
      <c r="I21" s="3">
        <f t="shared" si="0"/>
        <v>1</v>
      </c>
    </row>
    <row r="22" spans="1:9" ht="16" x14ac:dyDescent="0.2">
      <c r="A22" s="2" t="s">
        <v>67</v>
      </c>
      <c r="B22" s="1" t="s">
        <v>44</v>
      </c>
      <c r="C22" s="16">
        <v>45870</v>
      </c>
      <c r="D22" s="16">
        <v>46112</v>
      </c>
      <c r="F22" s="3">
        <v>0.25</v>
      </c>
      <c r="G22" s="3">
        <v>0</v>
      </c>
      <c r="H22" s="3">
        <v>3.9</v>
      </c>
      <c r="I22" s="3">
        <f t="shared" si="0"/>
        <v>4.1500000000000004</v>
      </c>
    </row>
    <row r="23" spans="1:9" ht="16" x14ac:dyDescent="0.2">
      <c r="A23" s="2" t="s">
        <v>68</v>
      </c>
      <c r="B23" s="1" t="s">
        <v>45</v>
      </c>
      <c r="C23" s="16">
        <v>46054</v>
      </c>
      <c r="D23" s="16">
        <v>46112</v>
      </c>
      <c r="F23" s="3">
        <v>0</v>
      </c>
      <c r="G23" s="3">
        <v>1</v>
      </c>
      <c r="H23" s="3">
        <v>0</v>
      </c>
      <c r="I23" s="3">
        <f t="shared" si="0"/>
        <v>1</v>
      </c>
    </row>
    <row r="24" spans="1:9" ht="32" x14ac:dyDescent="0.2">
      <c r="A24" s="2" t="s">
        <v>69</v>
      </c>
      <c r="B24" s="1" t="s">
        <v>46</v>
      </c>
      <c r="C24" s="16">
        <v>45870</v>
      </c>
      <c r="D24" s="16">
        <v>46112</v>
      </c>
      <c r="F24" s="3">
        <v>0.25</v>
      </c>
      <c r="G24" s="3">
        <v>0</v>
      </c>
      <c r="H24" s="3">
        <v>0.45</v>
      </c>
      <c r="I24" s="3">
        <f t="shared" si="0"/>
        <v>0.7</v>
      </c>
    </row>
    <row r="25" spans="1:9" ht="16" x14ac:dyDescent="0.2">
      <c r="A25" s="2">
        <v>5</v>
      </c>
      <c r="B25" s="1" t="s">
        <v>47</v>
      </c>
      <c r="I25" s="3">
        <f t="shared" si="0"/>
        <v>0</v>
      </c>
    </row>
    <row r="26" spans="1:9" ht="32" x14ac:dyDescent="0.2">
      <c r="A26" s="2" t="s">
        <v>70</v>
      </c>
      <c r="B26" s="1" t="s">
        <v>48</v>
      </c>
      <c r="C26" s="16">
        <v>46113</v>
      </c>
      <c r="D26" s="16">
        <v>46234</v>
      </c>
      <c r="E26" s="3" t="s">
        <v>15</v>
      </c>
      <c r="F26" s="3">
        <v>0.25</v>
      </c>
      <c r="G26" s="3">
        <v>1</v>
      </c>
      <c r="H26" s="3">
        <v>0</v>
      </c>
      <c r="I26" s="3">
        <f t="shared" si="0"/>
        <v>1.25</v>
      </c>
    </row>
    <row r="27" spans="1:9" ht="16" x14ac:dyDescent="0.2">
      <c r="A27" s="2" t="s">
        <v>71</v>
      </c>
      <c r="B27" s="1" t="s">
        <v>49</v>
      </c>
      <c r="C27" s="16">
        <v>46113</v>
      </c>
      <c r="D27" s="16">
        <v>46234</v>
      </c>
      <c r="E27" s="3" t="s">
        <v>15</v>
      </c>
      <c r="F27" s="3">
        <v>0.5</v>
      </c>
      <c r="G27" s="3">
        <v>1</v>
      </c>
      <c r="H27" s="3">
        <v>0</v>
      </c>
      <c r="I27" s="3">
        <f t="shared" si="0"/>
        <v>1.5</v>
      </c>
    </row>
    <row r="28" spans="1:9" ht="16" x14ac:dyDescent="0.2">
      <c r="A28" s="2" t="s">
        <v>72</v>
      </c>
      <c r="B28" s="1" t="s">
        <v>50</v>
      </c>
      <c r="C28" s="16">
        <v>45870</v>
      </c>
      <c r="D28" s="16">
        <v>46234</v>
      </c>
      <c r="E28" s="3" t="s">
        <v>15</v>
      </c>
      <c r="F28" s="3">
        <v>0.5</v>
      </c>
      <c r="G28" s="3">
        <v>0.5</v>
      </c>
      <c r="H28" s="3">
        <v>0</v>
      </c>
      <c r="I28" s="3">
        <f t="shared" si="0"/>
        <v>1</v>
      </c>
    </row>
    <row r="29" spans="1:9" ht="16" x14ac:dyDescent="0.2">
      <c r="A29" s="2" t="s">
        <v>73</v>
      </c>
      <c r="B29" s="1" t="s">
        <v>51</v>
      </c>
      <c r="C29" s="16">
        <v>45658</v>
      </c>
      <c r="D29" s="16">
        <v>46234</v>
      </c>
      <c r="E29" s="3" t="s">
        <v>15</v>
      </c>
      <c r="F29" s="3">
        <v>0.5</v>
      </c>
      <c r="G29" s="3">
        <v>1</v>
      </c>
      <c r="H29" s="3">
        <v>0</v>
      </c>
      <c r="I29" s="3">
        <f t="shared" si="0"/>
        <v>1.5</v>
      </c>
    </row>
    <row r="30" spans="1:9" ht="16" x14ac:dyDescent="0.2">
      <c r="A30" s="2" t="s">
        <v>74</v>
      </c>
      <c r="B30" s="1" t="s">
        <v>52</v>
      </c>
      <c r="C30" s="16">
        <v>46113</v>
      </c>
      <c r="D30" s="16">
        <v>46234</v>
      </c>
      <c r="E30" s="3" t="s">
        <v>15</v>
      </c>
      <c r="F30" s="3">
        <v>0.35</v>
      </c>
      <c r="G30" s="3">
        <v>0</v>
      </c>
      <c r="H30" s="3">
        <v>0</v>
      </c>
      <c r="I30" s="3">
        <f t="shared" si="0"/>
        <v>0.35</v>
      </c>
    </row>
    <row r="31" spans="1:9" x14ac:dyDescent="0.2">
      <c r="A31" s="11" t="s">
        <v>15</v>
      </c>
      <c r="B31" s="3" t="s">
        <v>15</v>
      </c>
      <c r="C31" s="15" t="s">
        <v>15</v>
      </c>
      <c r="D31" s="15" t="s">
        <v>15</v>
      </c>
      <c r="E31" s="3" t="s">
        <v>15</v>
      </c>
      <c r="I31" s="3">
        <f t="shared" si="0"/>
        <v>0</v>
      </c>
    </row>
    <row r="32" spans="1:9" x14ac:dyDescent="0.2">
      <c r="A32" s="11" t="s">
        <v>15</v>
      </c>
      <c r="B32" s="3" t="s">
        <v>15</v>
      </c>
      <c r="C32" s="15" t="s">
        <v>15</v>
      </c>
      <c r="D32" s="15" t="s">
        <v>15</v>
      </c>
      <c r="E32" s="3" t="s">
        <v>15</v>
      </c>
      <c r="I32" s="3">
        <f t="shared" si="0"/>
        <v>0</v>
      </c>
    </row>
    <row r="33" spans="1:9" x14ac:dyDescent="0.2">
      <c r="A33" s="3" t="s">
        <v>15</v>
      </c>
      <c r="B33" s="3" t="s">
        <v>15</v>
      </c>
      <c r="C33" s="15" t="s">
        <v>15</v>
      </c>
      <c r="D33" s="15" t="s">
        <v>15</v>
      </c>
      <c r="E33" s="3" t="s">
        <v>15</v>
      </c>
      <c r="I33" s="3">
        <f t="shared" si="0"/>
        <v>0</v>
      </c>
    </row>
    <row r="34" spans="1:9" x14ac:dyDescent="0.2">
      <c r="A34" s="12" t="s">
        <v>5</v>
      </c>
      <c r="B34" s="12" t="s">
        <v>14</v>
      </c>
      <c r="F34" s="12">
        <f>SUM(F4:F33)</f>
        <v>5.2249999999999996</v>
      </c>
      <c r="G34" s="12">
        <f>SUM(G4:G33)</f>
        <v>10</v>
      </c>
      <c r="H34" s="12">
        <f>SUM(H4:H33)</f>
        <v>4.3499999999999996</v>
      </c>
      <c r="I34" s="12">
        <f>SUM(I4:I33)</f>
        <v>19.575000000000003</v>
      </c>
    </row>
    <row r="37" spans="1:9" x14ac:dyDescent="0.2">
      <c r="A37" s="13" t="s">
        <v>16</v>
      </c>
      <c r="B37" s="13"/>
      <c r="C37" s="13"/>
      <c r="D37" s="13"/>
      <c r="E37" s="13"/>
      <c r="F37" s="13"/>
    </row>
    <row r="38" spans="1:9" x14ac:dyDescent="0.2">
      <c r="A38" s="14" t="s">
        <v>17</v>
      </c>
      <c r="B38" s="14"/>
      <c r="C38" s="14"/>
      <c r="D38" s="14"/>
      <c r="E38" s="14"/>
      <c r="F38" s="14"/>
    </row>
    <row r="39" spans="1:9" x14ac:dyDescent="0.2">
      <c r="A39" s="14" t="s">
        <v>18</v>
      </c>
      <c r="B39" s="14"/>
      <c r="C39" s="14"/>
      <c r="D39" s="14"/>
      <c r="E39" s="14"/>
      <c r="F39" s="14"/>
    </row>
    <row r="40" spans="1:9" x14ac:dyDescent="0.2">
      <c r="A40" s="14" t="s">
        <v>19</v>
      </c>
      <c r="B40" s="14"/>
      <c r="C40" s="14"/>
      <c r="D40" s="14"/>
      <c r="E40" s="14"/>
      <c r="F40" s="14"/>
    </row>
    <row r="41" spans="1:9" x14ac:dyDescent="0.2">
      <c r="A41" s="14" t="s">
        <v>20</v>
      </c>
      <c r="B41" s="14"/>
      <c r="C41" s="14"/>
      <c r="D41" s="14"/>
      <c r="E41" s="14"/>
      <c r="F41" s="14"/>
    </row>
    <row r="42" spans="1:9" x14ac:dyDescent="0.2">
      <c r="A42" s="14" t="s">
        <v>21</v>
      </c>
      <c r="B42" s="14"/>
      <c r="C42" s="14"/>
      <c r="D42" s="14"/>
      <c r="E42" s="14"/>
      <c r="F42" s="14"/>
    </row>
    <row r="43" spans="1:9" x14ac:dyDescent="0.2">
      <c r="A43" s="14" t="s">
        <v>22</v>
      </c>
      <c r="B43" s="14"/>
      <c r="C43" s="14"/>
      <c r="D43" s="14"/>
      <c r="E43" s="14"/>
      <c r="F43" s="14"/>
    </row>
    <row r="44" spans="1:9" x14ac:dyDescent="0.2">
      <c r="A44" s="14" t="s">
        <v>23</v>
      </c>
      <c r="B44" s="14"/>
      <c r="C44" s="14"/>
      <c r="D44" s="14"/>
      <c r="E44" s="14"/>
      <c r="F44" s="14"/>
    </row>
    <row r="45" spans="1:9" x14ac:dyDescent="0.2">
      <c r="A45" s="14" t="s">
        <v>15</v>
      </c>
      <c r="B45" s="14"/>
      <c r="C45" s="14"/>
      <c r="D45" s="14"/>
      <c r="E45" s="14"/>
      <c r="F45" s="14"/>
    </row>
    <row r="46" spans="1:9" x14ac:dyDescent="0.2">
      <c r="A46" s="14" t="s">
        <v>0</v>
      </c>
      <c r="B46" s="14"/>
      <c r="C46" s="14"/>
      <c r="D46" s="14"/>
      <c r="E46" s="14"/>
      <c r="F46" s="14"/>
    </row>
    <row r="47" spans="1:9" x14ac:dyDescent="0.2">
      <c r="A47" s="14" t="s">
        <v>6</v>
      </c>
      <c r="B47" s="14"/>
      <c r="C47" s="14"/>
      <c r="D47" s="14"/>
      <c r="E47" s="14"/>
      <c r="F47" s="14"/>
    </row>
    <row r="48" spans="1:9" x14ac:dyDescent="0.2">
      <c r="A48" s="14" t="s">
        <v>24</v>
      </c>
      <c r="B48" s="14"/>
      <c r="C48" s="14"/>
      <c r="D48" s="14"/>
      <c r="E48" s="14"/>
      <c r="F48" s="14"/>
    </row>
    <row r="49" spans="1:6" x14ac:dyDescent="0.2">
      <c r="A49" s="14" t="s">
        <v>25</v>
      </c>
      <c r="B49" s="14"/>
      <c r="C49" s="14"/>
      <c r="D49" s="14"/>
      <c r="E49" s="14"/>
      <c r="F49" s="14"/>
    </row>
  </sheetData>
  <mergeCells count="15">
    <mergeCell ref="A45:F45"/>
    <mergeCell ref="A46:F46"/>
    <mergeCell ref="A47:F47"/>
    <mergeCell ref="A48:F48"/>
    <mergeCell ref="A49:F49"/>
    <mergeCell ref="A40:F40"/>
    <mergeCell ref="A41:F41"/>
    <mergeCell ref="A42:F42"/>
    <mergeCell ref="A43:F43"/>
    <mergeCell ref="A44:F44"/>
    <mergeCell ref="A1:D1"/>
    <mergeCell ref="A2:D2"/>
    <mergeCell ref="A37:F37"/>
    <mergeCell ref="A38:F38"/>
    <mergeCell ref="A39:F3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2026-03-22T15:06:28Z</dcterms:created>
  <dcterms:modified xsi:type="dcterms:W3CDTF">2026-03-22T15:35:06Z</dcterms:modified>
  <cp:category/>
</cp:coreProperties>
</file>