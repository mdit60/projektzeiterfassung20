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dbs/Documents/Dev/PZE/Vorlagen/"/>
    </mc:Choice>
  </mc:AlternateContent>
  <xr:revisionPtr revIDLastSave="0" documentId="13_ncr:1_{D795446E-8403-5B45-B425-130FB1D9E579}" xr6:coauthVersionLast="47" xr6:coauthVersionMax="47" xr10:uidLastSave="{00000000-0000-0000-0000-000000000000}"/>
  <bookViews>
    <workbookView xWindow="15120" yWindow="-21000" windowWidth="38400" windowHeight="21000" tabRatio="500" xr2:uid="{00000000-000D-0000-FFFF-FFFF00000000}"/>
  </bookViews>
  <sheets>
    <sheet name="Projektplan" sheetId="1" r:id="rId1"/>
  </sheets>
  <definedNames>
    <definedName name="_xlnm._FilterDatabase" localSheetId="0" hidden="1">Projektplan!$A$1:$D$46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2" i="1" l="1"/>
  <c r="P48" i="1"/>
</calcChain>
</file>

<file path=xl/sharedStrings.xml><?xml version="1.0" encoding="utf-8"?>
<sst xmlns="http://schemas.openxmlformats.org/spreadsheetml/2006/main" count="194" uniqueCount="85">
  <si>
    <t>Nr.</t>
  </si>
  <si>
    <t>Arbeitspaket</t>
  </si>
  <si>
    <t>von</t>
  </si>
  <si>
    <t>bis</t>
  </si>
  <si>
    <t>MA-Nr
(gem. lfd. Nr.
Anl. 6.1 Sp. 1)</t>
  </si>
  <si>
    <t>PM</t>
  </si>
  <si>
    <t>1</t>
  </si>
  <si>
    <t>Anforderungsprofil und Lösungskonzept (alle)</t>
  </si>
  <si>
    <t>1.1</t>
  </si>
  <si>
    <t>Anforderungskatalog Gesamtsystem und Verfahren</t>
  </si>
  <si>
    <t>01.10.2025</t>
  </si>
  <si>
    <t>30.10.2025</t>
  </si>
  <si>
    <t>1.2</t>
  </si>
  <si>
    <t>Lösungskonzepte</t>
  </si>
  <si>
    <t>03.11.2025</t>
  </si>
  <si>
    <t>30.11.2025</t>
  </si>
  <si>
    <t>1.3</t>
  </si>
  <si>
    <t>Erstellung abgestimmtes Pflichtenheft</t>
  </si>
  <si>
    <t>01.12.2025</t>
  </si>
  <si>
    <t>31.12.2025</t>
  </si>
  <si>
    <t>1.3.</t>
  </si>
  <si>
    <t>2</t>
  </si>
  <si>
    <t>Entwicklung des Laser- und Lackierverfahrens (Elektra)</t>
  </si>
  <si>
    <t>3</t>
  </si>
  <si>
    <t>Entwicklung von laserfähigem elektrisch leitfähigen Lacksystem (Nordwest-Chemie)</t>
  </si>
  <si>
    <t>4</t>
  </si>
  <si>
    <t>Entwicklung Sensorstruktur, Steuerelektronik und Kontaktierung zwischen Leiterplatte und leitfähigem Lacksystem (Automotive Synergies)</t>
  </si>
  <si>
    <t>4.1</t>
  </si>
  <si>
    <t>Entwicklung der Geometrien und Leiterbahnführung für Sensorflächen in Abhängigkeit der Leitlackparameter (Simulation)</t>
  </si>
  <si>
    <t>4.1.1</t>
  </si>
  <si>
    <t>Untersuchung des kapazitiven, induktiven und restistiven frequenzabhängigen Verhaltens verschiedener Geometrien der Leiterstrukturen und Sensorflächen</t>
  </si>
  <si>
    <t>04.01.2026</t>
  </si>
  <si>
    <t>26.02.2026</t>
  </si>
  <si>
    <t>4.1.2</t>
  </si>
  <si>
    <t>Bewertung der Untersuchung aus 4.1.1.</t>
  </si>
  <si>
    <t>01.03.2026</t>
  </si>
  <si>
    <t>31.03.2026</t>
  </si>
  <si>
    <t>4.2</t>
  </si>
  <si>
    <t>Entwicklung der Elektronikschaltung zur Steuerung der Bedienelemente</t>
  </si>
  <si>
    <t>01.04.2026</t>
  </si>
  <si>
    <t>31.05.2026</t>
  </si>
  <si>
    <t>4.3</t>
  </si>
  <si>
    <t>Entwicklung Leiterplattenlayout</t>
  </si>
  <si>
    <t>01.06.2026</t>
  </si>
  <si>
    <t>31.07.2026</t>
  </si>
  <si>
    <t>4.4</t>
  </si>
  <si>
    <t>Analyse und Auswahl verschiedener Funktionsmustervarianten</t>
  </si>
  <si>
    <t>4.4.1</t>
  </si>
  <si>
    <t>Musterbau unterschiedlicher Varianten</t>
  </si>
  <si>
    <t>02.08.2026</t>
  </si>
  <si>
    <t>30.09.2026</t>
  </si>
  <si>
    <t>4.4.2</t>
  </si>
  <si>
    <t>Funktionsprüfung/Testreihen der Funktionsmuster</t>
  </si>
  <si>
    <t>01.10.2026</t>
  </si>
  <si>
    <t>29.10.2026</t>
  </si>
  <si>
    <t>4.4.3</t>
  </si>
  <si>
    <t>Analyse und Bewertung der Testreihen mit Festlegung der geeignetesten Variante</t>
  </si>
  <si>
    <t>01.11.2026</t>
  </si>
  <si>
    <t>30.11.2026</t>
  </si>
  <si>
    <t>4.4.4</t>
  </si>
  <si>
    <t>Optimierung der ausgewählten Funktionsmustervariante</t>
  </si>
  <si>
    <t>01.12.2026</t>
  </si>
  <si>
    <t>31.12.2026</t>
  </si>
  <si>
    <t>4.5</t>
  </si>
  <si>
    <t>Entwicklung der Kontaktierung</t>
  </si>
  <si>
    <t>4.5.1</t>
  </si>
  <si>
    <t>Erarbeitung Konzeptvarianten (Biegefeder, leitfähige Klebeverbindung, leitfähiger Kontaktstift im Werkstück)</t>
  </si>
  <si>
    <t>03.01.2027</t>
  </si>
  <si>
    <t>29.04.2027</t>
  </si>
  <si>
    <t>4.5.2</t>
  </si>
  <si>
    <t>Testreihen und Validierung der Varianten</t>
  </si>
  <si>
    <t>02.05.2027</t>
  </si>
  <si>
    <t>31.08.2027</t>
  </si>
  <si>
    <t>5</t>
  </si>
  <si>
    <t>Konstruktion, Entwicklung, Bau und Test des Demonstrators (alle)</t>
  </si>
  <si>
    <t>01.09.2027</t>
  </si>
  <si>
    <t>30.09.2027</t>
  </si>
  <si>
    <t>Summe</t>
  </si>
  <si>
    <t>AP-Nr.</t>
  </si>
  <si>
    <t>Kurzbeschreibung</t>
  </si>
  <si>
    <t>MA-Nr 1
PM</t>
  </si>
  <si>
    <t>MA-Nr 2
PM</t>
  </si>
  <si>
    <t>MA-Nr 3
PM</t>
  </si>
  <si>
    <t>MA-Nr 4
PM</t>
  </si>
  <si>
    <t>AP
Summe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</si>
</sst>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</xdr:row>
      <xdr:rowOff>0</xdr:rowOff>
    </xdr:from>
    <xdr:to>
      <xdr:col>24</xdr:col>
      <xdr:colOff>88900</xdr:colOff>
      <xdr:row>6</xdr:row>
      <xdr:rowOff>415958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16EE0CF-55F4-E219-38F2-C0A54138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9300" y="2654300"/>
          <a:ext cx="7772400" cy="138115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abSelected="1" topLeftCell="I1" zoomScaleNormal="100" workbookViewId="0">
      <selection activeCell="AB12" sqref="AB12"/>
    </sheetView>
  </sheetViews>
  <sheetFormatPr baseColWidth="10" defaultColWidth="14.1640625" defaultRowHeight="18" x14ac:dyDescent="0.2"/>
  <cols>
    <col min="2" max="2" width="74" customWidth="1"/>
    <col min="7" max="10" width="14.1640625" style="5"/>
    <col min="11" max="11" width="6.5" style="5" bestFit="1" customWidth="1"/>
    <col min="12" max="12" width="52.1640625" style="5" bestFit="1" customWidth="1"/>
    <col min="13" max="14" width="13.1640625" style="5" bestFit="1" customWidth="1"/>
    <col min="15" max="19" width="14.1640625" style="5"/>
    <col min="20" max="20" width="30" style="5" customWidth="1"/>
    <col min="21" max="16384" width="14.1640625" style="5"/>
  </cols>
  <sheetData>
    <row r="1" spans="1:27" s="2" customFormat="1" ht="95" x14ac:dyDescent="0.2">
      <c r="A1" s="1" t="s">
        <v>0</v>
      </c>
      <c r="B1" s="1" t="s">
        <v>1</v>
      </c>
      <c r="C1" s="1" t="s">
        <v>2</v>
      </c>
      <c r="D1" s="1" t="s">
        <v>3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S1" s="1" t="s">
        <v>78</v>
      </c>
      <c r="T1" s="1" t="s">
        <v>79</v>
      </c>
      <c r="U1" s="1" t="s">
        <v>2</v>
      </c>
      <c r="V1" s="1" t="s">
        <v>3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</row>
    <row r="2" spans="1:27" ht="57" x14ac:dyDescent="0.2">
      <c r="A2" s="3" t="s">
        <v>8</v>
      </c>
      <c r="B2" s="4" t="s">
        <v>9</v>
      </c>
      <c r="C2" s="9">
        <v>45931</v>
      </c>
      <c r="D2" s="9">
        <v>45960</v>
      </c>
      <c r="E2" s="5"/>
      <c r="F2" s="5"/>
      <c r="K2" s="3" t="s">
        <v>6</v>
      </c>
      <c r="L2" s="4" t="s">
        <v>7</v>
      </c>
      <c r="M2" s="3"/>
      <c r="N2" s="3"/>
      <c r="O2" s="3"/>
      <c r="P2" s="3"/>
      <c r="S2" s="3" t="s">
        <v>8</v>
      </c>
      <c r="T2" s="10" t="s">
        <v>9</v>
      </c>
      <c r="U2" s="3" t="s">
        <v>10</v>
      </c>
      <c r="V2" s="3" t="s">
        <v>11</v>
      </c>
      <c r="W2" s="3">
        <v>1</v>
      </c>
      <c r="X2" s="3">
        <v>0.5</v>
      </c>
      <c r="Y2" s="3">
        <v>1</v>
      </c>
      <c r="Z2" s="3">
        <v>0.5</v>
      </c>
      <c r="AA2" s="3">
        <f>SUM(W2:Z2)</f>
        <v>3</v>
      </c>
    </row>
    <row r="3" spans="1:27" ht="38" x14ac:dyDescent="0.2">
      <c r="A3" s="3" t="s">
        <v>12</v>
      </c>
      <c r="B3" s="4" t="s">
        <v>13</v>
      </c>
      <c r="C3" s="9">
        <v>45964</v>
      </c>
      <c r="D3" s="9">
        <v>45991</v>
      </c>
      <c r="E3" s="5"/>
      <c r="F3" s="5"/>
      <c r="K3" s="3" t="s">
        <v>8</v>
      </c>
      <c r="L3" s="4" t="s">
        <v>9</v>
      </c>
      <c r="M3" s="3" t="s">
        <v>10</v>
      </c>
      <c r="N3" s="3" t="s">
        <v>11</v>
      </c>
      <c r="O3" s="3">
        <v>1</v>
      </c>
      <c r="P3" s="3">
        <v>0.5</v>
      </c>
    </row>
    <row r="4" spans="1:27" ht="19" x14ac:dyDescent="0.2">
      <c r="A4" s="3" t="s">
        <v>16</v>
      </c>
      <c r="B4" s="4" t="s">
        <v>17</v>
      </c>
      <c r="C4" s="9">
        <v>45992</v>
      </c>
      <c r="D4" s="9">
        <v>46022</v>
      </c>
      <c r="E4" s="5"/>
      <c r="F4" s="5"/>
      <c r="K4" s="3" t="s">
        <v>8</v>
      </c>
      <c r="L4" s="4"/>
      <c r="M4" s="3" t="s">
        <v>10</v>
      </c>
      <c r="N4" s="3" t="s">
        <v>11</v>
      </c>
      <c r="O4" s="3">
        <v>2</v>
      </c>
      <c r="P4" s="3">
        <v>1</v>
      </c>
    </row>
    <row r="5" spans="1:27" ht="57" x14ac:dyDescent="0.2">
      <c r="A5" s="3" t="s">
        <v>29</v>
      </c>
      <c r="B5" s="4" t="s">
        <v>30</v>
      </c>
      <c r="C5" s="9">
        <v>46026</v>
      </c>
      <c r="D5" s="9">
        <v>46079</v>
      </c>
      <c r="E5" s="5"/>
      <c r="F5" s="5"/>
      <c r="K5" s="3" t="s">
        <v>12</v>
      </c>
      <c r="L5" s="4" t="s">
        <v>13</v>
      </c>
      <c r="M5" s="3" t="s">
        <v>14</v>
      </c>
      <c r="N5" s="3" t="s">
        <v>15</v>
      </c>
      <c r="O5" s="3">
        <v>1</v>
      </c>
      <c r="P5" s="3">
        <v>0.5</v>
      </c>
    </row>
    <row r="6" spans="1:27" ht="19" x14ac:dyDescent="0.2">
      <c r="A6" s="3" t="s">
        <v>33</v>
      </c>
      <c r="B6" s="4" t="s">
        <v>34</v>
      </c>
      <c r="C6" s="9">
        <v>46082</v>
      </c>
      <c r="D6" s="9">
        <v>46112</v>
      </c>
      <c r="E6" s="5"/>
      <c r="F6" s="5"/>
      <c r="K6" s="3" t="s">
        <v>12</v>
      </c>
      <c r="L6" s="4"/>
      <c r="M6" s="3" t="s">
        <v>14</v>
      </c>
      <c r="N6" s="3" t="s">
        <v>15</v>
      </c>
      <c r="O6" s="3">
        <v>2</v>
      </c>
      <c r="P6" s="3">
        <v>0.5</v>
      </c>
    </row>
    <row r="7" spans="1:27" ht="38" x14ac:dyDescent="0.2">
      <c r="A7" s="3" t="s">
        <v>37</v>
      </c>
      <c r="B7" s="4" t="s">
        <v>38</v>
      </c>
      <c r="C7" s="9">
        <v>46113</v>
      </c>
      <c r="D7" s="9">
        <v>46173</v>
      </c>
      <c r="E7" s="5"/>
      <c r="F7" s="5"/>
      <c r="K7" s="3" t="s">
        <v>16</v>
      </c>
      <c r="L7" s="4" t="s">
        <v>17</v>
      </c>
      <c r="M7" s="3" t="s">
        <v>18</v>
      </c>
      <c r="N7" s="3" t="s">
        <v>19</v>
      </c>
      <c r="O7" s="3">
        <v>1</v>
      </c>
      <c r="P7" s="3">
        <v>0.5</v>
      </c>
    </row>
    <row r="8" spans="1:27" ht="19" x14ac:dyDescent="0.2">
      <c r="A8" s="3" t="s">
        <v>41</v>
      </c>
      <c r="B8" s="4" t="s">
        <v>42</v>
      </c>
      <c r="C8" s="9">
        <v>46174</v>
      </c>
      <c r="D8" s="9">
        <v>46234</v>
      </c>
      <c r="E8" s="5"/>
      <c r="F8" s="5"/>
      <c r="K8" s="3" t="s">
        <v>20</v>
      </c>
      <c r="L8" s="4"/>
      <c r="M8" s="3" t="s">
        <v>18</v>
      </c>
      <c r="N8" s="3" t="s">
        <v>19</v>
      </c>
      <c r="O8" s="3">
        <v>2</v>
      </c>
      <c r="P8" s="3">
        <v>0.5</v>
      </c>
    </row>
    <row r="9" spans="1:27" ht="19" x14ac:dyDescent="0.2">
      <c r="A9" s="3" t="s">
        <v>47</v>
      </c>
      <c r="B9" s="4" t="s">
        <v>48</v>
      </c>
      <c r="C9" s="9">
        <v>46236</v>
      </c>
      <c r="D9" s="9">
        <v>46295</v>
      </c>
      <c r="E9" s="5"/>
      <c r="F9" s="5"/>
      <c r="K9" s="3" t="s">
        <v>16</v>
      </c>
      <c r="L9" s="4"/>
      <c r="M9" s="3" t="s">
        <v>18</v>
      </c>
      <c r="N9" s="3" t="s">
        <v>19</v>
      </c>
      <c r="O9" s="3">
        <v>3</v>
      </c>
      <c r="P9" s="3">
        <v>0.5</v>
      </c>
    </row>
    <row r="10" spans="1:27" ht="38" x14ac:dyDescent="0.2">
      <c r="A10" s="3" t="s">
        <v>51</v>
      </c>
      <c r="B10" s="4" t="s">
        <v>52</v>
      </c>
      <c r="C10" s="9">
        <v>46296</v>
      </c>
      <c r="D10" s="9">
        <v>46324</v>
      </c>
      <c r="E10" s="5"/>
      <c r="F10" s="5"/>
      <c r="K10" s="3" t="s">
        <v>21</v>
      </c>
      <c r="L10" s="4" t="s">
        <v>22</v>
      </c>
      <c r="M10" s="3"/>
      <c r="N10" s="3"/>
      <c r="O10" s="3"/>
      <c r="P10" s="3"/>
    </row>
    <row r="11" spans="1:27" ht="38" x14ac:dyDescent="0.2">
      <c r="A11" s="3" t="s">
        <v>55</v>
      </c>
      <c r="B11" s="4" t="s">
        <v>56</v>
      </c>
      <c r="C11" s="9">
        <v>46327</v>
      </c>
      <c r="D11" s="9">
        <v>46356</v>
      </c>
      <c r="E11" s="5"/>
      <c r="F11" s="5"/>
      <c r="K11" s="3" t="s">
        <v>23</v>
      </c>
      <c r="L11" s="4" t="s">
        <v>24</v>
      </c>
      <c r="M11" s="3"/>
      <c r="N11" s="3"/>
      <c r="O11" s="3"/>
      <c r="P11" s="3"/>
    </row>
    <row r="12" spans="1:27" ht="76" x14ac:dyDescent="0.2">
      <c r="A12" s="3" t="s">
        <v>59</v>
      </c>
      <c r="B12" s="4" t="s">
        <v>60</v>
      </c>
      <c r="C12" s="9">
        <v>46357</v>
      </c>
      <c r="D12" s="9">
        <v>46387</v>
      </c>
      <c r="E12" s="5"/>
      <c r="F12" s="5"/>
      <c r="K12" s="3" t="s">
        <v>25</v>
      </c>
      <c r="L12" s="4" t="s">
        <v>26</v>
      </c>
      <c r="M12" s="3"/>
      <c r="N12" s="3"/>
      <c r="O12" s="3"/>
      <c r="P12" s="3"/>
    </row>
    <row r="13" spans="1:27" ht="76" x14ac:dyDescent="0.2">
      <c r="A13" s="3" t="s">
        <v>65</v>
      </c>
      <c r="B13" s="4" t="s">
        <v>66</v>
      </c>
      <c r="C13" s="9">
        <v>46390</v>
      </c>
      <c r="D13" s="9">
        <v>46506</v>
      </c>
      <c r="E13" s="5"/>
      <c r="F13" s="5"/>
      <c r="K13" s="3" t="s">
        <v>27</v>
      </c>
      <c r="L13" s="4" t="s">
        <v>28</v>
      </c>
      <c r="M13" s="3"/>
      <c r="N13" s="3"/>
      <c r="O13" s="3"/>
      <c r="P13" s="3"/>
    </row>
    <row r="14" spans="1:27" ht="76" x14ac:dyDescent="0.2">
      <c r="A14" s="3" t="s">
        <v>69</v>
      </c>
      <c r="B14" s="4" t="s">
        <v>70</v>
      </c>
      <c r="C14" s="9">
        <v>46509</v>
      </c>
      <c r="D14" s="9">
        <v>46630</v>
      </c>
      <c r="E14" s="5"/>
      <c r="F14" s="5"/>
      <c r="K14" s="3" t="s">
        <v>29</v>
      </c>
      <c r="L14" s="4" t="s">
        <v>30</v>
      </c>
      <c r="M14" s="3" t="s">
        <v>31</v>
      </c>
      <c r="N14" s="3" t="s">
        <v>32</v>
      </c>
      <c r="O14" s="3">
        <v>1</v>
      </c>
      <c r="P14" s="3">
        <v>0.5</v>
      </c>
    </row>
    <row r="15" spans="1:27" ht="19" x14ac:dyDescent="0.2">
      <c r="A15" s="3" t="s">
        <v>73</v>
      </c>
      <c r="B15" s="4" t="s">
        <v>74</v>
      </c>
      <c r="C15" s="9">
        <v>46631</v>
      </c>
      <c r="D15" s="9">
        <v>46660</v>
      </c>
      <c r="E15" s="5"/>
      <c r="F15" s="5"/>
      <c r="K15" s="3" t="s">
        <v>29</v>
      </c>
      <c r="L15" s="4"/>
      <c r="M15" s="3" t="s">
        <v>31</v>
      </c>
      <c r="N15" s="3" t="s">
        <v>32</v>
      </c>
      <c r="O15" s="3">
        <v>2</v>
      </c>
      <c r="P15" s="3">
        <v>1</v>
      </c>
    </row>
    <row r="16" spans="1:27" x14ac:dyDescent="0.2">
      <c r="A16" s="3"/>
      <c r="B16" s="4"/>
      <c r="C16" s="9"/>
      <c r="D16" s="9"/>
      <c r="E16" s="5"/>
      <c r="F16" s="5"/>
      <c r="K16" s="3" t="s">
        <v>29</v>
      </c>
      <c r="L16" s="4"/>
      <c r="M16" s="3" t="s">
        <v>31</v>
      </c>
      <c r="N16" s="3" t="s">
        <v>32</v>
      </c>
      <c r="O16" s="3">
        <v>3</v>
      </c>
      <c r="P16" s="3">
        <v>1</v>
      </c>
    </row>
    <row r="17" spans="1:16" ht="19" x14ac:dyDescent="0.2">
      <c r="A17" s="3"/>
      <c r="B17" s="4"/>
      <c r="C17" s="9"/>
      <c r="D17" s="9"/>
      <c r="E17" s="5"/>
      <c r="F17" s="5"/>
      <c r="K17" s="3" t="s">
        <v>33</v>
      </c>
      <c r="L17" s="4" t="s">
        <v>34</v>
      </c>
      <c r="M17" s="3" t="s">
        <v>35</v>
      </c>
      <c r="N17" s="3" t="s">
        <v>36</v>
      </c>
      <c r="O17" s="3">
        <v>1</v>
      </c>
      <c r="P17" s="3">
        <v>0.5</v>
      </c>
    </row>
    <row r="18" spans="1:16" x14ac:dyDescent="0.2">
      <c r="A18" s="3"/>
      <c r="B18" s="4"/>
      <c r="C18" s="9"/>
      <c r="D18" s="9"/>
      <c r="E18" s="5"/>
      <c r="F18" s="5"/>
      <c r="K18" s="3" t="s">
        <v>33</v>
      </c>
      <c r="L18" s="4"/>
      <c r="M18" s="3" t="s">
        <v>35</v>
      </c>
      <c r="N18" s="3" t="s">
        <v>36</v>
      </c>
      <c r="O18" s="3">
        <v>2</v>
      </c>
      <c r="P18" s="3">
        <v>1</v>
      </c>
    </row>
    <row r="19" spans="1:16" x14ac:dyDescent="0.2">
      <c r="A19" s="3"/>
      <c r="B19" s="4"/>
      <c r="C19" s="9"/>
      <c r="D19" s="9"/>
      <c r="E19" s="5"/>
      <c r="F19" s="5"/>
      <c r="K19" s="3" t="s">
        <v>33</v>
      </c>
      <c r="L19" s="4"/>
      <c r="M19" s="3" t="s">
        <v>35</v>
      </c>
      <c r="N19" s="3" t="s">
        <v>36</v>
      </c>
      <c r="O19" s="3">
        <v>3</v>
      </c>
      <c r="P19" s="3">
        <v>1</v>
      </c>
    </row>
    <row r="20" spans="1:16" ht="38" x14ac:dyDescent="0.2">
      <c r="A20" s="3"/>
      <c r="B20" s="4"/>
      <c r="C20" s="9"/>
      <c r="D20" s="9"/>
      <c r="E20" s="5"/>
      <c r="F20" s="5"/>
      <c r="K20" s="3" t="s">
        <v>37</v>
      </c>
      <c r="L20" s="4" t="s">
        <v>38</v>
      </c>
      <c r="M20" s="3" t="s">
        <v>39</v>
      </c>
      <c r="N20" s="3" t="s">
        <v>40</v>
      </c>
      <c r="O20" s="3">
        <v>1</v>
      </c>
      <c r="P20" s="3">
        <v>0.5</v>
      </c>
    </row>
    <row r="21" spans="1:16" x14ac:dyDescent="0.2">
      <c r="A21" s="3"/>
      <c r="B21" s="4"/>
      <c r="C21" s="9"/>
      <c r="D21" s="9"/>
      <c r="E21" s="5"/>
      <c r="F21" s="5"/>
      <c r="K21" s="3" t="s">
        <v>37</v>
      </c>
      <c r="L21" s="4"/>
      <c r="M21" s="3" t="s">
        <v>39</v>
      </c>
      <c r="N21" s="3" t="s">
        <v>40</v>
      </c>
      <c r="O21" s="3">
        <v>2</v>
      </c>
      <c r="P21" s="3">
        <v>2</v>
      </c>
    </row>
    <row r="22" spans="1:16" x14ac:dyDescent="0.2">
      <c r="A22" s="3"/>
      <c r="B22" s="4"/>
      <c r="C22" s="9"/>
      <c r="D22" s="9"/>
      <c r="E22" s="5"/>
      <c r="F22" s="5"/>
      <c r="K22" s="3" t="s">
        <v>37</v>
      </c>
      <c r="L22" s="4"/>
      <c r="M22" s="3" t="s">
        <v>39</v>
      </c>
      <c r="N22" s="3" t="s">
        <v>40</v>
      </c>
      <c r="O22" s="3">
        <v>3</v>
      </c>
      <c r="P22" s="3">
        <v>2</v>
      </c>
    </row>
    <row r="23" spans="1:16" ht="19" x14ac:dyDescent="0.2">
      <c r="A23" s="3"/>
      <c r="B23" s="4"/>
      <c r="C23" s="9"/>
      <c r="D23" s="9"/>
      <c r="E23" s="5"/>
      <c r="F23" s="5"/>
      <c r="K23" s="3" t="s">
        <v>41</v>
      </c>
      <c r="L23" s="4" t="s">
        <v>42</v>
      </c>
      <c r="M23" s="3" t="s">
        <v>43</v>
      </c>
      <c r="N23" s="3" t="s">
        <v>44</v>
      </c>
      <c r="O23" s="3">
        <v>1</v>
      </c>
      <c r="P23" s="3">
        <v>0.5</v>
      </c>
    </row>
    <row r="24" spans="1:16" x14ac:dyDescent="0.2">
      <c r="A24" s="3"/>
      <c r="B24" s="4"/>
      <c r="C24" s="9"/>
      <c r="D24" s="9"/>
      <c r="E24" s="5"/>
      <c r="F24" s="5"/>
      <c r="K24" s="3" t="s">
        <v>41</v>
      </c>
      <c r="L24" s="4"/>
      <c r="M24" s="3" t="s">
        <v>43</v>
      </c>
      <c r="N24" s="3" t="s">
        <v>44</v>
      </c>
      <c r="O24" s="3">
        <v>2</v>
      </c>
      <c r="P24" s="3">
        <v>2</v>
      </c>
    </row>
    <row r="25" spans="1:16" x14ac:dyDescent="0.2">
      <c r="A25" s="3"/>
      <c r="B25" s="4"/>
      <c r="C25" s="9"/>
      <c r="D25" s="9"/>
      <c r="E25" s="5"/>
      <c r="F25" s="5"/>
      <c r="K25" s="3" t="s">
        <v>41</v>
      </c>
      <c r="L25" s="4"/>
      <c r="M25" s="3" t="s">
        <v>43</v>
      </c>
      <c r="N25" s="3" t="s">
        <v>44</v>
      </c>
      <c r="O25" s="3">
        <v>3</v>
      </c>
      <c r="P25" s="3">
        <v>2</v>
      </c>
    </row>
    <row r="26" spans="1:16" ht="38" x14ac:dyDescent="0.2">
      <c r="A26" s="3"/>
      <c r="B26" s="4"/>
      <c r="C26" s="9"/>
      <c r="D26" s="9"/>
      <c r="E26" s="5"/>
      <c r="F26" s="5"/>
      <c r="K26" s="3" t="s">
        <v>45</v>
      </c>
      <c r="L26" s="4" t="s">
        <v>46</v>
      </c>
      <c r="M26" s="3"/>
      <c r="N26" s="3"/>
      <c r="O26" s="3"/>
      <c r="P26" s="3"/>
    </row>
    <row r="27" spans="1:16" ht="19" x14ac:dyDescent="0.2">
      <c r="A27" s="3"/>
      <c r="B27" s="4"/>
      <c r="C27" s="9"/>
      <c r="D27" s="9"/>
      <c r="E27" s="5"/>
      <c r="F27" s="5"/>
      <c r="K27" s="3" t="s">
        <v>47</v>
      </c>
      <c r="L27" s="4" t="s">
        <v>48</v>
      </c>
      <c r="M27" s="3" t="s">
        <v>49</v>
      </c>
      <c r="N27" s="3" t="s">
        <v>50</v>
      </c>
      <c r="O27" s="3">
        <v>1</v>
      </c>
      <c r="P27" s="3">
        <v>0.5</v>
      </c>
    </row>
    <row r="28" spans="1:16" x14ac:dyDescent="0.2">
      <c r="A28" s="3"/>
      <c r="B28" s="4"/>
      <c r="C28" s="9"/>
      <c r="D28" s="9"/>
      <c r="E28" s="5"/>
      <c r="F28" s="5"/>
      <c r="K28" s="3" t="s">
        <v>47</v>
      </c>
      <c r="L28" s="4"/>
      <c r="M28" s="3" t="s">
        <v>49</v>
      </c>
      <c r="N28" s="3" t="s">
        <v>50</v>
      </c>
      <c r="O28" s="3">
        <v>2</v>
      </c>
      <c r="P28" s="3">
        <v>2</v>
      </c>
    </row>
    <row r="29" spans="1:16" x14ac:dyDescent="0.2">
      <c r="A29" s="3"/>
      <c r="B29" s="4"/>
      <c r="C29" s="9"/>
      <c r="D29" s="9"/>
      <c r="E29" s="5"/>
      <c r="F29" s="5"/>
      <c r="K29" s="3" t="s">
        <v>47</v>
      </c>
      <c r="L29" s="4"/>
      <c r="M29" s="3" t="s">
        <v>49</v>
      </c>
      <c r="N29" s="3" t="s">
        <v>50</v>
      </c>
      <c r="O29" s="3">
        <v>3</v>
      </c>
      <c r="P29" s="3">
        <v>2</v>
      </c>
    </row>
    <row r="30" spans="1:16" ht="38" x14ac:dyDescent="0.2">
      <c r="A30" s="3"/>
      <c r="B30" s="4"/>
      <c r="C30" s="9"/>
      <c r="D30" s="9"/>
      <c r="E30" s="5"/>
      <c r="F30" s="5"/>
      <c r="K30" s="3" t="s">
        <v>51</v>
      </c>
      <c r="L30" s="4" t="s">
        <v>52</v>
      </c>
      <c r="M30" s="3" t="s">
        <v>53</v>
      </c>
      <c r="N30" s="3" t="s">
        <v>54</v>
      </c>
      <c r="O30" s="3">
        <v>1</v>
      </c>
      <c r="P30" s="3">
        <v>0.5</v>
      </c>
    </row>
    <row r="31" spans="1:16" x14ac:dyDescent="0.2">
      <c r="A31" s="3"/>
      <c r="B31" s="4"/>
      <c r="C31" s="9"/>
      <c r="D31" s="9"/>
      <c r="E31" s="5"/>
      <c r="F31" s="5"/>
      <c r="K31" s="3" t="s">
        <v>51</v>
      </c>
      <c r="L31" s="4"/>
      <c r="M31" s="3" t="s">
        <v>53</v>
      </c>
      <c r="N31" s="3" t="s">
        <v>54</v>
      </c>
      <c r="O31" s="3">
        <v>2</v>
      </c>
      <c r="P31" s="3">
        <v>1</v>
      </c>
    </row>
    <row r="32" spans="1:16" x14ac:dyDescent="0.2">
      <c r="A32" s="3"/>
      <c r="B32" s="4"/>
      <c r="C32" s="9"/>
      <c r="D32" s="9"/>
      <c r="E32" s="5"/>
      <c r="F32" s="5"/>
      <c r="K32" s="3"/>
      <c r="L32" s="4"/>
      <c r="M32" s="3" t="s">
        <v>53</v>
      </c>
      <c r="N32" s="3" t="s">
        <v>54</v>
      </c>
      <c r="O32" s="3">
        <v>3</v>
      </c>
      <c r="P32" s="3">
        <v>1</v>
      </c>
    </row>
    <row r="33" spans="1:16" ht="38" x14ac:dyDescent="0.2">
      <c r="A33" s="3"/>
      <c r="B33" s="4"/>
      <c r="C33" s="9"/>
      <c r="D33" s="9"/>
      <c r="E33" s="5"/>
      <c r="F33" s="5"/>
      <c r="K33" s="3" t="s">
        <v>55</v>
      </c>
      <c r="L33" s="4" t="s">
        <v>56</v>
      </c>
      <c r="M33" s="3" t="s">
        <v>57</v>
      </c>
      <c r="N33" s="3" t="s">
        <v>58</v>
      </c>
      <c r="O33" s="3">
        <v>1</v>
      </c>
      <c r="P33" s="3">
        <v>1</v>
      </c>
    </row>
    <row r="34" spans="1:16" x14ac:dyDescent="0.2">
      <c r="A34" s="3"/>
      <c r="B34" s="4"/>
      <c r="C34" s="9"/>
      <c r="D34" s="9"/>
      <c r="E34" s="5"/>
      <c r="F34" s="5"/>
      <c r="K34" s="3"/>
      <c r="L34" s="4"/>
      <c r="M34" s="3" t="s">
        <v>57</v>
      </c>
      <c r="N34" s="3" t="s">
        <v>58</v>
      </c>
      <c r="O34" s="3">
        <v>2</v>
      </c>
      <c r="P34" s="3">
        <v>1</v>
      </c>
    </row>
    <row r="35" spans="1:16" x14ac:dyDescent="0.2">
      <c r="A35" s="3"/>
      <c r="B35" s="4"/>
      <c r="C35" s="9"/>
      <c r="D35" s="9"/>
      <c r="E35" s="5"/>
      <c r="F35" s="5"/>
      <c r="K35" s="3"/>
      <c r="L35" s="4"/>
      <c r="M35" s="3" t="s">
        <v>57</v>
      </c>
      <c r="N35" s="3" t="s">
        <v>58</v>
      </c>
      <c r="O35" s="3">
        <v>3</v>
      </c>
      <c r="P35" s="3">
        <v>1</v>
      </c>
    </row>
    <row r="36" spans="1:16" ht="38" x14ac:dyDescent="0.2">
      <c r="A36" s="3"/>
      <c r="B36" s="4"/>
      <c r="C36" s="9"/>
      <c r="D36" s="9"/>
      <c r="E36" s="5"/>
      <c r="F36" s="5"/>
      <c r="K36" s="3" t="s">
        <v>59</v>
      </c>
      <c r="L36" s="4" t="s">
        <v>60</v>
      </c>
      <c r="M36" s="3" t="s">
        <v>61</v>
      </c>
      <c r="N36" s="3" t="s">
        <v>62</v>
      </c>
      <c r="O36" s="3">
        <v>1</v>
      </c>
      <c r="P36" s="3">
        <v>0.5</v>
      </c>
    </row>
    <row r="37" spans="1:16" x14ac:dyDescent="0.2">
      <c r="A37" s="3"/>
      <c r="B37" s="4"/>
      <c r="C37" s="9"/>
      <c r="D37" s="9"/>
      <c r="E37" s="5"/>
      <c r="F37" s="5"/>
      <c r="K37" s="3" t="s">
        <v>59</v>
      </c>
      <c r="L37" s="4"/>
      <c r="M37" s="3" t="s">
        <v>61</v>
      </c>
      <c r="N37" s="3" t="s">
        <v>62</v>
      </c>
      <c r="O37" s="3">
        <v>2</v>
      </c>
      <c r="P37" s="3">
        <v>0.5</v>
      </c>
    </row>
    <row r="38" spans="1:16" x14ac:dyDescent="0.2">
      <c r="A38" s="3"/>
      <c r="B38" s="4"/>
      <c r="C38" s="9"/>
      <c r="D38" s="9"/>
      <c r="E38" s="5"/>
      <c r="F38" s="5"/>
      <c r="K38" s="3" t="s">
        <v>59</v>
      </c>
      <c r="L38" s="4"/>
      <c r="M38" s="3" t="s">
        <v>61</v>
      </c>
      <c r="N38" s="3" t="s">
        <v>62</v>
      </c>
      <c r="O38" s="3">
        <v>3</v>
      </c>
      <c r="P38" s="3">
        <v>0.5</v>
      </c>
    </row>
    <row r="39" spans="1:16" ht="19" x14ac:dyDescent="0.2">
      <c r="A39" s="3"/>
      <c r="B39" s="4"/>
      <c r="C39" s="9"/>
      <c r="D39" s="9"/>
      <c r="E39" s="5"/>
      <c r="F39" s="5"/>
      <c r="K39" s="3" t="s">
        <v>63</v>
      </c>
      <c r="L39" s="4" t="s">
        <v>64</v>
      </c>
      <c r="M39" s="3"/>
      <c r="N39" s="3"/>
      <c r="O39" s="3"/>
      <c r="P39" s="3"/>
    </row>
    <row r="40" spans="1:16" ht="57" x14ac:dyDescent="0.2">
      <c r="A40" s="3"/>
      <c r="B40" s="4"/>
      <c r="C40" s="3"/>
      <c r="D40" s="3"/>
      <c r="E40" s="5"/>
      <c r="F40" s="5"/>
      <c r="K40" s="3" t="s">
        <v>65</v>
      </c>
      <c r="L40" s="4" t="s">
        <v>66</v>
      </c>
      <c r="M40" s="3" t="s">
        <v>67</v>
      </c>
      <c r="N40" s="3" t="s">
        <v>68</v>
      </c>
      <c r="O40" s="3">
        <v>1</v>
      </c>
      <c r="P40" s="3">
        <v>2</v>
      </c>
    </row>
    <row r="41" spans="1:16" x14ac:dyDescent="0.2">
      <c r="A41" s="3"/>
      <c r="B41" s="4"/>
      <c r="C41" s="9"/>
      <c r="D41" s="9"/>
      <c r="E41" s="5"/>
      <c r="F41" s="5"/>
      <c r="K41" s="3" t="s">
        <v>65</v>
      </c>
      <c r="L41" s="4"/>
      <c r="M41" s="3" t="s">
        <v>67</v>
      </c>
      <c r="N41" s="3" t="s">
        <v>68</v>
      </c>
      <c r="O41" s="3">
        <v>2</v>
      </c>
      <c r="P41" s="3">
        <v>3</v>
      </c>
    </row>
    <row r="42" spans="1:16" x14ac:dyDescent="0.2">
      <c r="A42" s="3"/>
      <c r="B42" s="4"/>
      <c r="C42" s="9"/>
      <c r="D42" s="9"/>
      <c r="E42" s="5"/>
      <c r="F42" s="5"/>
      <c r="K42" s="3" t="s">
        <v>65</v>
      </c>
      <c r="L42" s="4"/>
      <c r="M42" s="3" t="s">
        <v>67</v>
      </c>
      <c r="N42" s="3" t="s">
        <v>68</v>
      </c>
      <c r="O42" s="3">
        <v>3</v>
      </c>
      <c r="P42" s="3">
        <v>2</v>
      </c>
    </row>
    <row r="43" spans="1:16" ht="19" x14ac:dyDescent="0.2">
      <c r="A43" s="3"/>
      <c r="B43" s="4"/>
      <c r="C43" s="9"/>
      <c r="D43" s="9"/>
      <c r="E43" s="5"/>
      <c r="F43" s="5"/>
      <c r="K43" s="3" t="s">
        <v>69</v>
      </c>
      <c r="L43" s="4" t="s">
        <v>70</v>
      </c>
      <c r="M43" s="3" t="s">
        <v>71</v>
      </c>
      <c r="N43" s="3" t="s">
        <v>72</v>
      </c>
      <c r="O43" s="3">
        <v>1</v>
      </c>
      <c r="P43" s="3">
        <v>2</v>
      </c>
    </row>
    <row r="44" spans="1:16" x14ac:dyDescent="0.2">
      <c r="A44" s="3"/>
      <c r="B44" s="4"/>
      <c r="C44" s="9"/>
      <c r="D44" s="9"/>
      <c r="E44" s="5"/>
      <c r="F44" s="5"/>
      <c r="K44" s="3" t="s">
        <v>69</v>
      </c>
      <c r="L44" s="4"/>
      <c r="M44" s="3" t="s">
        <v>71</v>
      </c>
      <c r="N44" s="3" t="s">
        <v>72</v>
      </c>
      <c r="O44" s="3">
        <v>2</v>
      </c>
      <c r="P44" s="3">
        <v>3</v>
      </c>
    </row>
    <row r="45" spans="1:16" ht="38" x14ac:dyDescent="0.2">
      <c r="A45" s="3"/>
      <c r="B45" s="4"/>
      <c r="C45" s="9"/>
      <c r="D45" s="9"/>
      <c r="E45" s="5"/>
      <c r="F45" s="5"/>
      <c r="K45" s="3" t="s">
        <v>73</v>
      </c>
      <c r="L45" s="4" t="s">
        <v>74</v>
      </c>
      <c r="M45" s="3" t="s">
        <v>75</v>
      </c>
      <c r="N45" s="3" t="s">
        <v>76</v>
      </c>
      <c r="O45" s="3">
        <v>1</v>
      </c>
      <c r="P45" s="3">
        <v>0.25</v>
      </c>
    </row>
    <row r="46" spans="1:16" x14ac:dyDescent="0.2">
      <c r="A46" s="3"/>
      <c r="B46" s="4"/>
      <c r="C46" s="9"/>
      <c r="D46" s="9"/>
      <c r="E46" s="5"/>
      <c r="F46" s="5"/>
      <c r="K46" s="3" t="s">
        <v>73</v>
      </c>
      <c r="L46" s="4"/>
      <c r="M46" s="3" t="s">
        <v>75</v>
      </c>
      <c r="N46" s="3" t="s">
        <v>76</v>
      </c>
      <c r="O46" s="3">
        <v>2</v>
      </c>
      <c r="P46" s="3">
        <v>0.5</v>
      </c>
    </row>
    <row r="47" spans="1:16" x14ac:dyDescent="0.2">
      <c r="A47" s="5"/>
      <c r="B47" s="5"/>
      <c r="C47" s="5"/>
      <c r="D47" s="5"/>
      <c r="E47" s="5"/>
      <c r="F47" s="5"/>
      <c r="K47" s="3" t="s">
        <v>73</v>
      </c>
      <c r="L47" s="4"/>
      <c r="M47" s="3" t="s">
        <v>75</v>
      </c>
      <c r="N47" s="3" t="s">
        <v>76</v>
      </c>
      <c r="O47" s="3">
        <v>3</v>
      </c>
      <c r="P47" s="3">
        <v>0.5</v>
      </c>
    </row>
    <row r="48" spans="1:16" x14ac:dyDescent="0.2">
      <c r="E48" s="5"/>
      <c r="F48" s="5"/>
      <c r="K48" s="6"/>
      <c r="L48" s="6"/>
      <c r="M48" s="6"/>
      <c r="N48" s="6"/>
      <c r="O48" s="7" t="s">
        <v>77</v>
      </c>
      <c r="P48" s="8">
        <f>SUM(P2:P47)</f>
        <v>42.75</v>
      </c>
    </row>
  </sheetData>
  <autoFilter ref="A1:D46" xr:uid="{00000000-0001-0000-0000-000000000000}">
    <sortState xmlns:xlrd2="http://schemas.microsoft.com/office/spreadsheetml/2017/richdata2" ref="A2:D46">
      <sortCondition ref="C1:C46"/>
    </sortState>
  </autoFilter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Ditscherlein</cp:lastModifiedBy>
  <cp:revision>0</cp:revision>
  <dcterms:created xsi:type="dcterms:W3CDTF">2025-12-08T20:08:08Z</dcterms:created>
  <dcterms:modified xsi:type="dcterms:W3CDTF">2026-01-25T00:59:49Z</dcterms:modified>
  <dc:language>en-US</dc:language>
</cp:coreProperties>
</file>